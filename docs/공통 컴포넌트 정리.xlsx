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N\git\AI-ONE\AI-ONE-Platform\docs\"/>
    </mc:Choice>
  </mc:AlternateContent>
  <xr:revisionPtr revIDLastSave="0" documentId="13_ncr:20001_{DB854323-36FC-4106-8615-C5DCE27D8039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요약" sheetId="1" r:id="rId1"/>
    <sheet name="컴포넌트 목록" sheetId="2" r:id="rId2"/>
    <sheet name="프로젝트 점검" sheetId="3" r:id="rId3"/>
    <sheet name="3.5일 일정" sheetId="4" r:id="rId4"/>
    <sheet name="산출물 정의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4" l="1"/>
  <c r="H17" i="4" s="1"/>
  <c r="H6" i="1"/>
  <c r="F6" i="1"/>
  <c r="D6" i="1"/>
  <c r="B6" i="1"/>
  <c r="B7" i="1" l="1"/>
  <c r="H7" i="1" s="1"/>
</calcChain>
</file>

<file path=xl/sharedStrings.xml><?xml version="1.0" encoding="utf-8"?>
<sst xmlns="http://schemas.openxmlformats.org/spreadsheetml/2006/main" count="1499" uniqueCount="781">
  <si>
    <t>공통 컴포넌트 정리 및 3.5일 점검 계획</t>
  </si>
  <si>
    <t>기준일 2026-08-19 · 마감 8월 31일 · 기존 AI-ONE은 참조 전용 · local-common-ui/에서 HTML/CSS/JS 공통 UI 정리 · Figma-코드 규격 매핑 기반 · 원격 반영 없음</t>
  </si>
  <si>
    <t>구분</t>
  </si>
  <si>
    <t>값</t>
  </si>
  <si>
    <t>판정</t>
  </si>
  <si>
    <t>총 컴포넌트</t>
  </si>
  <si>
    <t>전 프로젝트 공용</t>
  </si>
  <si>
    <t>AI 서비스 공용</t>
  </si>
  <si>
    <t>AI-ONE 전용</t>
  </si>
  <si>
    <t>계획 작업시간</t>
  </si>
  <si>
    <t>가용시간</t>
  </si>
  <si>
    <t>사용자 최종 점검</t>
  </si>
  <si>
    <t>1일 별도</t>
  </si>
  <si>
    <t>3.5일 가능 여부</t>
  </si>
  <si>
    <t>기존 코드 변경</t>
  </si>
  <si>
    <t>독립 작업 경로</t>
  </si>
  <si>
    <t>local-common-ui/</t>
  </si>
  <si>
    <t>Figma 원본</t>
  </si>
  <si>
    <t>링크/Node ID 필요</t>
  </si>
  <si>
    <t>원격 반영</t>
  </si>
  <si>
    <t>가능 범위와 전제</t>
  </si>
  <si>
    <t>포함</t>
  </si>
  <si>
    <t>현재 UI 55개 목록·규격 확정, Figma-코드 매핑표, 중복/유사 후보 분석, 공용성 3단계 구분, local-common-ui/의 1차 공통 UI 카탈로그·샘플 구현</t>
  </si>
  <si>
    <t>미수행</t>
  </si>
  <si>
    <t>기존 pages/·css/·js/·assets/ 변경 또는 교체, 기존 화면의 공통 컴포넌트 참조 전환, 원격 반영, React·백엔드/API 전환</t>
  </si>
  <si>
    <t>별도 로컬 영역에서 규격 기반과 우선 컴포넌트 샘플을 만드는 범위는 28시간 내 조건부 가능. 55개 전부 구현과 Figma 원본 일치 확정은 별도</t>
  </si>
  <si>
    <t>초기 근거</t>
  </si>
  <si>
    <t>현재 코드 기준 55개 항목의 Variant·Size·높이·Padding·Gap·Typography·Radius·코드 연결·사용 화면 1차 매핑 완료</t>
  </si>
  <si>
    <t>초기 리스크</t>
  </si>
  <si>
    <t>Figma 파일 링크/Node ID/컴포넌트 Property 정보가 없어 현재는 코드 기준 제안 규격만 작성 가능. 실제 동일성 판정은 Figma 원본 확인 후 확정</t>
  </si>
  <si>
    <t>무영향 원칙</t>
  </si>
  <si>
    <t>기존 AI-ONE 자산은 읽기 전용 기준선으로 사용. 결과물은 local-common-ui/에만 생성하고 pages/css/js/assets 변경 0건과 원격 반영 0건을 인수 조건으로 기록</t>
  </si>
  <si>
    <t>재사용 구분 기준</t>
  </si>
  <si>
    <t>업무 도메인과 무관하게 재사용 가능한 기반·폼·액션·레이어·데이터 표시</t>
  </si>
  <si>
    <t>독립 구현 원칙</t>
  </si>
  <si>
    <t>local-common-ui/에서 우선 구현하고 기존 AI-ONE에는 연결하지 않음</t>
  </si>
  <si>
    <t>챗/프롬프트/문서/근거 UI처럼 AI 서비스군에서 반복 가능한 조합형 컴포넌트</t>
  </si>
  <si>
    <t>매핑 원칙</t>
  </si>
  <si>
    <t>Figma 이름·Property와 코드 Variant·API·data-*를 1:1 표로 관리</t>
  </si>
  <si>
    <t>질의분류·답변서·실국 알림 등 현재 업무/브랜드 전용 UI</t>
  </si>
  <si>
    <t>관리 원칙</t>
  </si>
  <si>
    <t>기존 페이지에 유지하고 공통 primitive 후보만 별도 영역에서 재현</t>
  </si>
  <si>
    <t>공통 컴포넌트 목록</t>
  </si>
  <si>
    <t>현재 AI-ONE 코드 기준 55개 항목 · 규격/코드/사용처는 현행 분석값 · 공통 UI 구현은 local-common-ui/에서만 진행 · Figma 실제 일치 여부는 별도 매핑 시트에서 관리</t>
  </si>
  <si>
    <t>No.</t>
  </si>
  <si>
    <t>대분류</t>
  </si>
  <si>
    <t>중분류</t>
  </si>
  <si>
    <t>컴포넌트</t>
  </si>
  <si>
    <t>Variant/상태</t>
  </si>
  <si>
    <t>Size</t>
  </si>
  <si>
    <t>높이</t>
  </si>
  <si>
    <t>Padding</t>
  </si>
  <si>
    <t>Gap</t>
  </si>
  <si>
    <t>Typography</t>
  </si>
  <si>
    <t>Radius</t>
  </si>
  <si>
    <t>아이콘 Y/N</t>
  </si>
  <si>
    <t>공통화</t>
  </si>
  <si>
    <t>사용 범위</t>
  </si>
  <si>
    <t>코드 연결</t>
  </si>
  <si>
    <t>런타임/데이터 계약</t>
  </si>
  <si>
    <t>현재 사용 화면</t>
  </si>
  <si>
    <t>정적 상태</t>
  </si>
  <si>
    <t>우선순위</t>
  </si>
  <si>
    <t>점검 포인트/비고</t>
  </si>
  <si>
    <t>기반</t>
  </si>
  <si>
    <t>디자인 시스템</t>
  </si>
  <si>
    <t>디자인 토큰/테마</t>
  </si>
  <si>
    <t>light · dark · accent 7종</t>
  </si>
  <si>
    <t>전역</t>
  </si>
  <si>
    <t>-</t>
  </si>
  <si>
    <t>Pretendard Variable · 배율 토큰</t>
  </si>
  <si>
    <t>6/10/12/14px</t>
  </si>
  <si>
    <t>N</t>
  </si>
  <si>
    <t>완료</t>
  </si>
  <si>
    <t>css/ai-theme.css · js/ai-theme.js · css/common.css :root</t>
  </si>
  <si>
    <t>data-theme · data-accent-*</t>
  </si>
  <si>
    <t>전체 6화면</t>
  </si>
  <si>
    <t>정의·로딩 순서 확인</t>
  </si>
  <si>
    <t>P0</t>
  </si>
  <si>
    <t>토큰 누락·하드코딩 색·다크 테마 대비 점검</t>
  </si>
  <si>
    <t>접근성</t>
  </si>
  <si>
    <t>접근성 유틸리티</t>
  </si>
  <si>
    <t>hidden · sr-only · visually-hidden · reduced-motion</t>
  </si>
  <si>
    <t>상속</t>
  </si>
  <si>
    <t>css/common.css: Accessibility Utility</t>
  </si>
  <si>
    <t>ARIA · focus-visible · prefers-reduced-motion</t>
  </si>
  <si>
    <t>공통 정의 확인</t>
  </si>
  <si>
    <t>키보드 이동·포커스 복귀·스크린리더 이름은 브라우저 점검 필요</t>
  </si>
  <si>
    <t>레이아웃</t>
  </si>
  <si>
    <t>앱 프레임</t>
  </si>
  <si>
    <t>앱 레이아웃</t>
  </si>
  <si>
    <t>default · sidebar collapsed · responsive</t>
  </si>
  <si>
    <t>min 320px</t>
  </si>
  <si>
    <t>100vh</t>
  </si>
  <si>
    <t>.app · .main-wrap · .three-panel</t>
  </si>
  <si>
    <t>sidebar sibling state</t>
  </si>
  <si>
    <t>로그인 제외 5화면</t>
  </si>
  <si>
    <t>정적 사용 확인</t>
  </si>
  <si>
    <t>320/768/1024/1440px overflow 및 축소 상태 점검</t>
  </si>
  <si>
    <t>피드백</t>
  </si>
  <si>
    <t>로딩</t>
  </si>
  <si>
    <t>API 로딩 스켈레톤</t>
  </si>
  <si>
    <t>line · circle · card · overlay</t>
  </si>
  <si>
    <t>유동</t>
  </si>
  <si>
    <t>콘텐츠 종속</t>
  </si>
  <si>
    <t>컴포넌트별</t>
  </si>
  <si>
    <t>8~12px</t>
  </si>
  <si>
    <t>6~12px</t>
  </si>
  <si>
    <t>부분</t>
  </si>
  <si>
    <t>.api-skeleton-overlay · .ai-skeleton · .skeleton-*</t>
  </si>
  <si>
    <t>런타임 생성 가능</t>
  </si>
  <si>
    <t>정적 HTML 인스턴스 없음</t>
  </si>
  <si>
    <t>공통 CSS만 확인</t>
  </si>
  <si>
    <t>P2</t>
  </si>
  <si>
    <t>실제 생성 경로·대체 텍스트·로딩 종료 상태 확인</t>
  </si>
  <si>
    <t>폼</t>
  </si>
  <si>
    <t>필드 구조</t>
  </si>
  <si>
    <t>필드/폼 컨트롤</t>
  </si>
  <si>
    <t>default · required · error · success · help/count</t>
  </si>
  <si>
    <t>100%/유동</t>
  </si>
  <si>
    <t>컨트롤 종속</t>
  </si>
  <si>
    <t>label 6px · group 16px</t>
  </si>
  <si>
    <t>row 12px</t>
  </si>
  <si>
    <t>label/help 12px</t>
  </si>
  <si>
    <t>.field · .form-row · .form-group</t>
  </si>
  <si>
    <t>상태 클래스 is-error/is-success</t>
  </si>
  <si>
    <t>워크스페이스 · 로그인</t>
  </si>
  <si>
    <t>label-for·오류 메시지 연결·모바일 세로 전환</t>
  </si>
  <si>
    <t>데이터 표시</t>
  </si>
  <si>
    <t>상태</t>
  </si>
  <si>
    <t>배지</t>
  </si>
  <si>
    <t>콘텐츠 폭</t>
  </si>
  <si>
    <t>자동</t>
  </si>
  <si>
    <t>2~3px 8~10px</t>
  </si>
  <si>
    <t>4px</t>
  </si>
  <si>
    <t>10px/600</t>
  </si>
  <si>
    <t>14px</t>
  </si>
  <si>
    <t>Y</t>
  </si>
  <si>
    <t>.badge · .status-badge</t>
  </si>
  <si>
    <t>data-status-icon</t>
  </si>
  <si>
    <t>답변 2화면 · 홈 · 워크스페이스</t>
  </si>
  <si>
    <t>P1</t>
  </si>
  <si>
    <t>색상 외 텍스트 의미·대비·긴 라벨 잘림</t>
  </si>
  <si>
    <t>아이콘</t>
  </si>
  <si>
    <t>asset img · inline SVG · 14/16/20px</t>
  </si>
  <si>
    <t>14~20px</t>
  </si>
  <si>
    <t>0</t>
  </si>
  <si>
    <t>.icon · .icon-small · [data-icon]</t>
  </si>
  <si>
    <t>data-icon + 테마 filter</t>
  </si>
  <si>
    <t>SVG 대체텍스트·decorative aria-hidden·테마 필터</t>
  </si>
  <si>
    <t>액션</t>
  </si>
  <si>
    <t>버튼</t>
  </si>
  <si>
    <t>default · primary · soft · ghost · outline · accent · purple · workspace · cyan · danger · active · dark · pill · nav</t>
  </si>
  <si>
    <t>24/32/38px 및 콘텐츠 폭</t>
  </si>
  <si>
    <t>기본 32px</t>
  </si>
  <si>
    <t>0 12px</t>
  </si>
  <si>
    <t>6px</t>
  </si>
  <si>
    <t>12px/600</t>
  </si>
  <si>
    <t>6px 기본</t>
  </si>
  <si>
    <t>.button · .icon-button · window.AIOneButton</t>
  </si>
  <si>
    <t>aria-pressed · aria-disabled</t>
  </si>
  <si>
    <t>공통 CSS/JS·사용 확인</t>
  </si>
  <si>
    <t>hover/focus/disabled/pressed 전 variant와 44px 터치 영역 검토</t>
  </si>
  <si>
    <t>선택</t>
  </si>
  <si>
    <t>선택 그룹</t>
  </si>
  <si>
    <t>block · inline · title/desc</t>
  </si>
  <si>
    <t>항목별</t>
  </si>
  <si>
    <t>12px</t>
  </si>
  <si>
    <t>6~10px</t>
  </si>
  <si>
    <t>.choice-group · .choice-list</t>
  </si>
  <si>
    <t>native input 연계</t>
  </si>
  <si>
    <t>answer-after</t>
  </si>
  <si>
    <t>fieldset/legend 또는 group label 관계 확인</t>
  </si>
  <si>
    <t>체크박스</t>
  </si>
  <si>
    <t>xs · sm · md · checked · disabled</t>
  </si>
  <si>
    <t>12/14/16px</t>
  </si>
  <si>
    <t>8px</t>
  </si>
  <si>
    <t>3~4px</t>
  </si>
  <si>
    <t>.checkbox-control · .checkbox-label</t>
  </si>
  <si>
    <t>native checkbox</t>
  </si>
  <si>
    <t>답변 2화면 · 로그인</t>
  </si>
  <si>
    <t>클릭 영역·indeterminate·disabled 대비</t>
  </si>
  <si>
    <t>선택 토큰</t>
  </si>
  <si>
    <t>칩</t>
  </si>
  <si>
    <t>default · removable</t>
  </si>
  <si>
    <t>4~8px 8~12px</t>
  </si>
  <si>
    <t>11~12px</t>
  </si>
  <si>
    <t>.chip · common.js Chip</t>
  </si>
  <si>
    <t>data-chip-target · data-chip-suffix</t>
  </si>
  <si>
    <t>정적 .chip 인스턴스 없음</t>
  </si>
  <si>
    <t>CSS/JS 계약 확인</t>
  </si>
  <si>
    <t>현재 페이지 생성 경로·삭제 버튼 접근성 확인</t>
  </si>
  <si>
    <t>입력</t>
  </si>
  <si>
    <t>인풋</t>
  </si>
  <si>
    <t>default · focus · error · success · disabled · readonly</t>
  </si>
  <si>
    <t>100%</t>
  </si>
  <si>
    <t>8px 12px</t>
  </si>
  <si>
    <t>13px</t>
  </si>
  <si>
    <t>.form-input</t>
  </si>
  <si>
    <t>field state</t>
  </si>
  <si>
    <t>답변 2화면 · 워크스페이스 · 로그인</t>
  </si>
  <si>
    <t>label/description/autocomplete/검증 상태</t>
  </si>
  <si>
    <t>라디오</t>
  </si>
  <si>
    <t>default · checked · disabled</t>
  </si>
  <si>
    <t>16px</t>
  </si>
  <si>
    <t>8px 0</t>
  </si>
  <si>
    <t>50%</t>
  </si>
  <si>
    <t>.radio-label</t>
  </si>
  <si>
    <t>native radio</t>
  </si>
  <si>
    <t>그룹 이름·키보드 방향키·선택 설명</t>
  </si>
  <si>
    <t>셀렉트</t>
  </si>
  <si>
    <t>default · focus · error · success · disabled</t>
  </si>
  <si>
    <t>.form-select</t>
  </si>
  <si>
    <t>native select</t>
  </si>
  <si>
    <t>워크스페이스</t>
  </si>
  <si>
    <t>옵션 길이·포커스·모바일 native UI</t>
  </si>
  <si>
    <t>텍스트영역</t>
  </si>
  <si>
    <t>default · focus · error · success · disabled · readonly · autoheight</t>
  </si>
  <si>
    <t>콘텐츠/최소높이</t>
  </si>
  <si>
    <t>10px 14px</t>
  </si>
  <si>
    <t>12px/1.7</t>
  </si>
  <si>
    <t>.form-textarea · window.AIOneTextarea</t>
  </si>
  <si>
    <t>자동 높이 초기화</t>
  </si>
  <si>
    <t>answer-after · 워크스페이스</t>
  </si>
  <si>
    <t>최대 길이·count 연결·resize·IME 입력</t>
  </si>
  <si>
    <t>토글</t>
  </si>
  <si>
    <t>default · checked · disabled · notification</t>
  </si>
  <si>
    <t>행 100%</t>
  </si>
  <si>
    <t>6px/999px</t>
  </si>
  <si>
    <t>.toggle-switch · .toggle-row</t>
  </si>
  <si>
    <t>native checkbox/aria-checked</t>
  </si>
  <si>
    <t>상태 텍스트·키보드·비활성 대비</t>
  </si>
  <si>
    <t>내비게이션</t>
  </si>
  <si>
    <t>필터</t>
  </si>
  <si>
    <t>필터 버튼</t>
  </si>
  <si>
    <t>all · single · multi · none · excluded</t>
  </si>
  <si>
    <t>4px 10px</t>
  </si>
  <si>
    <t>5px</t>
  </si>
  <si>
    <t>11px</t>
  </si>
  <si>
    <t>.filter-btn · window.AIOneFilterButtons</t>
  </si>
  <si>
    <t>data-filter · aria-pressed</t>
  </si>
  <si>
    <t>답변 2화면 · 워크스페이스</t>
  </si>
  <si>
    <t>excluded 규칙 일부 주석 상태; active/default/hover 분리 확인</t>
  </si>
  <si>
    <t>파일</t>
  </si>
  <si>
    <t>파일 업로드</t>
  </si>
  <si>
    <t>default · type2 · type3 · reference · smart · dragover</t>
  </si>
  <si>
    <t>기본 122px</t>
  </si>
  <si>
    <t>22px 12px 18px</t>
  </si>
  <si>
    <t>11~13px</t>
  </si>
  <si>
    <t>10px</t>
  </si>
  <si>
    <t>.upload-zone · window.AIOneFileUpload</t>
  </si>
  <si>
    <t>data-file-upload-zone · drag events</t>
  </si>
  <si>
    <t>파일형식/용량/다중 선택/키보드/보안 실패 상태</t>
  </si>
  <si>
    <t>파일 항목</t>
  </si>
  <si>
    <t>default · simple · pending/processing/done/error · menu</t>
  </si>
  <si>
    <t>.file-item-* · window.AIOneFileItem</t>
  </si>
  <si>
    <t>data-file-state · retry/remove</t>
  </si>
  <si>
    <t>상태 전이·긴 파일명·재시도/삭제·메뉴 포커스</t>
  </si>
  <si>
    <t>파일 목록</t>
  </si>
  <si>
    <t>default · collapsed · empty · sortable</t>
  </si>
  <si>
    <t>목록 종속</t>
  </si>
  <si>
    <t>.file-list · .file-list-section</t>
  </si>
  <si>
    <t>data-file-list-*</t>
  </si>
  <si>
    <t>공통 CSS·사용 확인</t>
  </si>
  <si>
    <t>빈 상태·스크롤·정렬·추가 버튼</t>
  </si>
  <si>
    <t>메뉴</t>
  </si>
  <si>
    <t>드롭다운 메뉴</t>
  </si>
  <si>
    <t>default · compact · model · icon-action · bottom-end</t>
  </si>
  <si>
    <t>180~280px</t>
  </si>
  <si>
    <t>2~6px</t>
  </si>
  <si>
    <t>.dropdown-menu · window.AIOneDropdownMenu</t>
  </si>
  <si>
    <t>data-dropdown-menu/trigger · aria-expanded</t>
  </si>
  <si>
    <t>화면 경계 배치·Escape·외부 클릭·roving focus</t>
  </si>
  <si>
    <t>도움말</t>
  </si>
  <si>
    <t>툴팁</t>
  </si>
  <si>
    <t>top · bottom · left · right</t>
  </si>
  <si>
    <t>max 280px</t>
  </si>
  <si>
    <t>7px 10px</t>
  </si>
  <si>
    <t>.ai-one-tooltip · window.AIOneTooltip</t>
  </si>
  <si>
    <t>data-tooltip · role=tooltip</t>
  </si>
  <si>
    <t>hover/focus 동시 지원·지연·viewport 충돌</t>
  </si>
  <si>
    <t>테이블</t>
  </si>
  <si>
    <t>데이터 테이블</t>
  </si>
  <si>
    <t>default · loading · empty · selectable · sortable · actions</t>
  </si>
  <si>
    <t>셀 10~12px</t>
  </si>
  <si>
    <t>12px 외곽</t>
  </si>
  <si>
    <t>.table-area · window.AIOneDataTable</t>
  </si>
  <si>
    <t>data-datatable · sort/select/loading</t>
  </si>
  <si>
    <t>홈</t>
  </si>
  <si>
    <t>헤더 연관·정렬 aria-sort·행 선택·가로 스크롤</t>
  </si>
  <si>
    <t>진행</t>
  </si>
  <si>
    <t>프로그레스 바</t>
  </si>
  <si>
    <t>default · lg · value band</t>
  </si>
  <si>
    <t>6px/8px</t>
  </si>
  <si>
    <t>10~12px label</t>
  </si>
  <si>
    <t>3px/4px</t>
  </si>
  <si>
    <t>.progressbar · window.AIOneProgressBar</t>
  </si>
  <si>
    <t>data-progressbar · aria-valuenow</t>
  </si>
  <si>
    <t>0/100/경계값·색상 외 수치 제공</t>
  </si>
  <si>
    <t>콘텐츠 구조</t>
  </si>
  <si>
    <t>패널</t>
  </si>
  <si>
    <t>left · center · right · collapsed</t>
  </si>
  <si>
    <t>유동/변수</t>
  </si>
  <si>
    <t>영역별</t>
  </si>
  <si>
    <t>11~15px</t>
  </si>
  <si>
    <t>.panel · .panel-head</t>
  </si>
  <si>
    <t>data-panel · collapsed state</t>
  </si>
  <si>
    <t>최소폭·접힘·스크롤 소유권·헤더 액션</t>
  </si>
  <si>
    <t>리사이즈</t>
  </si>
  <si>
    <t>분할 핸들러</t>
  </si>
  <si>
    <t>type1 좌우 · type2 상하 · keyboard reset</t>
  </si>
  <si>
    <t>핸들 폭 종속</t>
  </si>
  <si>
    <t>.split-handler · window.AIOneSplitHandler</t>
  </si>
  <si>
    <t>data-resize/data-split-min</t>
  </si>
  <si>
    <t>키보드 조절·최소폭·리셋·반응형 비활성</t>
  </si>
  <si>
    <t>사이드바</t>
  </si>
  <si>
    <t>expanded · collapsed · responsive · completion</t>
  </si>
  <si>
    <t>200px/56px</t>
  </si>
  <si>
    <t>8~10px</t>
  </si>
  <si>
    <t>.sidebar · window.AIOneSidebar</t>
  </si>
  <si>
    <t>data-route · aria-expanded · account menu</t>
  </si>
  <si>
    <t>현재 경로·접힘 유지·모바일·계정 레이어·포커스</t>
  </si>
  <si>
    <t>탑바</t>
  </si>
  <si>
    <t>default · type1 · workspace slot · actions</t>
  </si>
  <si>
    <t>56px</t>
  </si>
  <si>
    <t>0 12px 0 20px</t>
  </si>
  <si>
    <t>11/15px</t>
  </si>
  <si>
    <t>.app-topbar · window.AIOneTopbar</t>
  </si>
  <si>
    <t>data-topbar-title/subtitle · font percent</t>
  </si>
  <si>
    <t>긴 제목·액션 wrapping·배율·모바일</t>
  </si>
  <si>
    <t>레이어</t>
  </si>
  <si>
    <t>모달</t>
  </si>
  <si>
    <t>action-menu · profile/settings · content · confirm/cancel/alert/logout/rename/form</t>
  </si>
  <si>
    <t>160/360/380/430/960px</t>
  </si>
  <si>
    <t>viewport 종속</t>
  </si>
  <si>
    <t>16px 외곽·24px 기본</t>
  </si>
  <si>
    <t>8~16px</t>
  </si>
  <si>
    <t>10/12px</t>
  </si>
  <si>
    <t>.modal · window.AIOneModal/AIOneLayerFactory</t>
  </si>
  <si>
    <t>data-modal-open/close/variant · focus trap</t>
  </si>
  <si>
    <t>stacking·초기 포커스·Escape·backdrop·focus return</t>
  </si>
  <si>
    <t>사이드팝/드로어</t>
  </si>
  <si>
    <t>left/right · small/medium/large/xlarge · run-list/content</t>
  </si>
  <si>
    <t>360/420/460/900px</t>
  </si>
  <si>
    <t>header 16px 20px · body 20px</t>
  </si>
  <si>
    <t>.drawer · window.AIOneSidePop</t>
  </si>
  <si>
    <t>data-sidepop-* · child modal</t>
  </si>
  <si>
    <t>답변 2화면 · 챗봇 · 워크스페이스</t>
  </si>
  <si>
    <t>모달 중첩·좌우 전환·스크롤·포커스·viewport</t>
  </si>
  <si>
    <t>알림</t>
  </si>
  <si>
    <t>토스트</t>
  </si>
  <si>
    <t>default · long-running notification</t>
  </si>
  <si>
    <t>max 400px/360px</t>
  </si>
  <si>
    <t>min 36px</t>
  </si>
  <si>
    <t>9px 20px / 13px 14px</t>
  </si>
  <si>
    <t>11/12px</t>
  </si>
  <si>
    <t>.ai-one-toast · window.AIOneToast</t>
  </si>
  <si>
    <t>data-toast · role=status</t>
  </si>
  <si>
    <t>중복 호출·읽기 시간·닫기·작업 알림 수명</t>
  </si>
  <si>
    <t>탭</t>
  </si>
  <si>
    <t>underline · segmented · soft · count</t>
  </si>
  <si>
    <t>38px/자동</t>
  </si>
  <si>
    <t>0 14px · 6px 16px</t>
  </si>
  <si>
    <t>4~5px</t>
  </si>
  <si>
    <t>.tab/.tab-button-list · 페이지별 tab JS</t>
  </si>
  <si>
    <t>aria-selected · tab-panel hidden</t>
  </si>
  <si>
    <t>base .tab 정적 인스턴스 없음</t>
  </si>
  <si>
    <t>공통 CSS·페이지 계약 확인</t>
  </si>
  <si>
    <t>role tablist/tab/tabpanel·방향키·페이지별 중복 통합</t>
  </si>
  <si>
    <t>빈 상태</t>
  </si>
  <si>
    <t>title · description · action</t>
  </si>
  <si>
    <t>영역 종속</t>
  </si>
  <si>
    <t>12~16px</t>
  </si>
  <si>
    <t>.empty-state · .empty-title · .empty-desc</t>
  </si>
  <si>
    <t>hidden/visible state</t>
  </si>
  <si>
    <t>답변 2화면</t>
  </si>
  <si>
    <t>원인/다음 행동·장식 이미지 대체텍스트</t>
  </si>
  <si>
    <t>AI UI</t>
  </si>
  <si>
    <t>대화</t>
  </si>
  <si>
    <t>채팅 메시지</t>
  </si>
  <si>
    <t>user · ai · pending · typing · actions · report</t>
  </si>
  <si>
    <t>패널 폭</t>
  </si>
  <si>
    <t>메시지별</t>
  </si>
  <si>
    <t>12~14px</t>
  </si>
  <si>
    <t>.chat-msg · window.ChatMessage</t>
  </si>
  <si>
    <t>data-chat-message-* · action event</t>
  </si>
  <si>
    <t>답변 2화면 · 챗봇</t>
  </si>
  <si>
    <t>스트리밍·오류/재시도·복사/피드백·스크린리더 공지</t>
  </si>
  <si>
    <t>프롬프트 작성기</t>
  </si>
  <si>
    <t>default · file attached · model menu · disabled submit</t>
  </si>
  <si>
    <t>12px 18px</t>
  </si>
  <si>
    <t>28px</t>
  </si>
  <si>
    <t>.prompt-composer · window.AIOnePromptComposer</t>
  </si>
  <si>
    <t>data-prompt-*</t>
  </si>
  <si>
    <t>챗봇 · 홈</t>
  </si>
  <si>
    <t>IME·Enter/Shift+Enter·첨부 제거·전송중 상태</t>
  </si>
  <si>
    <t>챗봇 사이드바</t>
  </si>
  <si>
    <t>singleton · collapsed responsive</t>
  </si>
  <si>
    <t>200/56px</t>
  </si>
  <si>
    <t>.chatbot-sidebar · AIOneSidebar 내부 계약</t>
  </si>
  <si>
    <t>singleton 초기화</t>
  </si>
  <si>
    <t>챗봇</t>
  </si>
  <si>
    <t>전역 sidebar와 API/마크업 차이 정리</t>
  </si>
  <si>
    <t>문서 UI</t>
  </si>
  <si>
    <t>뷰어</t>
  </si>
  <si>
    <t>문서 상태 표시줄</t>
  </si>
  <si>
    <t>page · zoom · fullscreen · character count</t>
  </si>
  <si>
    <t>6~8px</t>
  </si>
  <si>
    <t>.document-statusbar · window.AIOneDocumentStatusBar</t>
  </si>
  <si>
    <t>data-document-statusbar-*</t>
  </si>
  <si>
    <t>줌 경계·전체화면 종료·페이지 선택·대상 연결</t>
  </si>
  <si>
    <t>자료</t>
  </si>
  <si>
    <t>선택된 관련자료</t>
  </si>
  <si>
    <t>list · empty guide · remove · score</t>
  </si>
  <si>
    <t>.selected-refs-*</t>
  </si>
  <si>
    <t>data-ref-id/data-remove-id</t>
  </si>
  <si>
    <t>중복 선택·삭제·점수 의미·빈 상태</t>
  </si>
  <si>
    <t>문서 미리보기</t>
  </si>
  <si>
    <t>body · footer · fullscreen</t>
  </si>
  <si>
    <t>패널 종속</t>
  </si>
  <si>
    <t>.preview-body · .preview-footer</t>
  </si>
  <si>
    <t>document statusbar 연계</t>
  </si>
  <si>
    <t>스크롤 대상·확대축소·빈/오류 상태</t>
  </si>
  <si>
    <t>콘텐츠</t>
  </si>
  <si>
    <t>웹 문서</t>
  </si>
  <si>
    <t>page · header · section · table · diff highlight</t>
  </si>
  <si>
    <t>문서형</t>
  </si>
  <si>
    <t>12~18px</t>
  </si>
  <si>
    <t>.web-doc-*</t>
  </si>
  <si>
    <t>data 비교/검증 슬롯</t>
  </si>
  <si>
    <t>인쇄/복사·긴 표·하이라이트 의미·HTML 안전성</t>
  </si>
  <si>
    <t>채팅 패널</t>
  </si>
  <si>
    <t>header actions · message list · input area</t>
  </si>
  <si>
    <t>12~15px</t>
  </si>
  <si>
    <t>.chat-input-area · .chat-window-actions</t>
  </si>
  <si>
    <t>ChatMessage/PromptComposer 조합</t>
  </si>
  <si>
    <t>공통+페이지 조합 확인</t>
  </si>
  <si>
    <t>공통 조합 계약과 페이지별 액션 소유권 분리</t>
  </si>
  <si>
    <t>브랜드</t>
  </si>
  <si>
    <t>배경</t>
  </si>
  <si>
    <t>AI-ONE 모션 배경</t>
  </si>
  <si>
    <t>default · dark · reduced-motion</t>
  </si>
  <si>
    <t>viewport</t>
  </si>
  <si>
    <t>전용 유지</t>
  </si>
  <si>
    <t>.ai-one-background · common.js data-ai-one-background</t>
  </si>
  <si>
    <t>data-ai-one-background</t>
  </si>
  <si>
    <t>AI-ONE 화면</t>
  </si>
  <si>
    <t>공통 파일 내 전용 계약 확인</t>
  </si>
  <si>
    <t>범용 라이브러리에서 브랜드 전용 모듈 분리 여부</t>
  </si>
  <si>
    <t>서비스 카드</t>
  </si>
  <si>
    <t>v1 · v2 · status/tone/version</t>
  </si>
  <si>
    <t>그리드 종속</t>
  </si>
  <si>
    <t>카드 종속</t>
  </si>
  <si>
    <t>16~20px</t>
  </si>
  <si>
    <t>css/ai-home.css · js/ai-home.js</t>
  </si>
  <si>
    <t>data-service-card-v2/status/tone/version</t>
  </si>
  <si>
    <t>페이지 전용 계약 확인</t>
  </si>
  <si>
    <t>카드 상태·진입 경로·반응형·준비중 모달</t>
  </si>
  <si>
    <t>작업 이력 모달</t>
  </si>
  <si>
    <t>search · table · empty · clear</t>
  </si>
  <si>
    <t>large modal</t>
  </si>
  <si>
    <t>페이지 정의</t>
  </si>
  <si>
    <t>ai-home.* + 공통 Modal/DataTable</t>
  </si>
  <si>
    <t>data-home-history-*</t>
  </si>
  <si>
    <t>HTML+JS 렌더 경로 확인</t>
  </si>
  <si>
    <t>정적 목록과 JS 전체이력 데이터 소유권·검색·빈 상태</t>
  </si>
  <si>
    <t>질의 분류</t>
  </si>
  <si>
    <t>질의 카드</t>
  </si>
  <si>
    <t>active · excluded · collapsed · review</t>
  </si>
  <si>
    <t>11~14px</t>
  </si>
  <si>
    <t>css/js/ai-workspace.*</t>
  </si>
  <si>
    <t>data-query-card-* · data-qid</t>
  </si>
  <si>
    <t>선택/제외/수정/삭제 상태와 목록-상세 동기화</t>
  </si>
  <si>
    <t>질의 툴바/목록</t>
  </si>
  <si>
    <t>filter · count · sort · upload summary</t>
  </si>
  <si>
    <t>data-filter · data-question-*</t>
  </si>
  <si>
    <t>필터 수치·선택 이동·빈 상태·스크롤</t>
  </si>
  <si>
    <t>원문 비교/분류 결과</t>
  </si>
  <si>
    <t>source · extracted · department · confidence</t>
  </si>
  <si>
    <t>중앙 패널</t>
  </si>
  <si>
    <t>css/js/ai-workspace.* + DocumentStatusBar/ProgressBar</t>
  </si>
  <si>
    <t>data-result-* · data-confidence</t>
  </si>
  <si>
    <t>원문-결과 매핑·신뢰도 경계·편집 후 상태</t>
  </si>
  <si>
    <t>실국별 알림 담당자</t>
  </si>
  <si>
    <t>org tree · department · staff select · search</t>
  </si>
  <si>
    <t>ai-workspace.* notification-assignee</t>
  </si>
  <si>
    <t>data-notification-*</t>
  </si>
  <si>
    <t>대규모 정적 계약 확인</t>
  </si>
  <si>
    <t>트리 키보드·검색·78명 상태·저장/취소·중첩 레이어</t>
  </si>
  <si>
    <t>설정</t>
  </si>
  <si>
    <t>분류 룰 설정 사이드팝</t>
  </si>
  <si>
    <t>list · form · include/exclude tags · priority</t>
  </si>
  <si>
    <t>xlarge drawer</t>
  </si>
  <si>
    <t>ai-workspace.* rule settings + AIOneSidePop</t>
  </si>
  <si>
    <t>data-rule-*</t>
  </si>
  <si>
    <t>신규/수정/삭제·충돌·저장·모달 중첩</t>
  </si>
  <si>
    <t>답변서</t>
  </si>
  <si>
    <t>답변서 초안 편집기</t>
  </si>
  <si>
    <t>view · edit · version · fullscreen</t>
  </si>
  <si>
    <t>ai-answer*.css/js</t>
  </si>
  <si>
    <t>data-draft-* · data-answer-draft-*</t>
  </si>
  <si>
    <t>편집/저장/버전 전환·전체화면·미저장 상태</t>
  </si>
  <si>
    <t>AI 참조소스 검색/파일</t>
  </si>
  <si>
    <t>smart search · recommendation · selected · apply</t>
  </si>
  <si>
    <t>좌측 패널</t>
  </si>
  <si>
    <t>ai-answer-after.*</t>
  </si>
  <si>
    <t>data-rec-* · data-source-* · AIOneAgentBridge</t>
  </si>
  <si>
    <t>검색/선택/등록·중복·로딩/실패·mock/live 경계</t>
  </si>
  <si>
    <t>근거 상세/검증</t>
  </si>
  <si>
    <t>valid/warn/error · highlight · reference detail</t>
  </si>
  <si>
    <t>분할 패널</t>
  </si>
  <si>
    <t>data-vd-* · data-verify-*</t>
  </si>
  <si>
    <t>문장-근거 연결·상태 색상 외 표현·하이라이트 토글</t>
  </si>
  <si>
    <t>답변서 비교 뷰</t>
  </si>
  <si>
    <t>version compare · answer compare · diff</t>
  </si>
  <si>
    <t>large/fullscreen</t>
  </si>
  <si>
    <t>data-compare-viewer · AgentBridge diff APIs</t>
  </si>
  <si>
    <t>비교 대상 선택·차이 없음/실패·긴 문서 스크롤</t>
  </si>
  <si>
    <t>오류 신고 드로어/업로드</t>
  </si>
  <si>
    <t>form · upload · success/error</t>
  </si>
  <si>
    <t>drawer</t>
  </si>
  <si>
    <t>css/js/ai-chatbot.*</t>
  </si>
  <si>
    <t>report drawer page state</t>
  </si>
  <si>
    <t>공통 Drawer/FileUpload로 수렴 가능한지와 제출 상태</t>
  </si>
  <si>
    <t>인증</t>
  </si>
  <si>
    <t>로그인 글래스 카드</t>
  </si>
  <si>
    <t>default · error · loading · dark</t>
  </si>
  <si>
    <t>card 420px 내외</t>
  </si>
  <si>
    <t>24~32px</t>
  </si>
  <si>
    <t>13~18px</t>
  </si>
  <si>
    <t>16px 내외</t>
  </si>
  <si>
    <t>css/login.css · js/login.js</t>
  </si>
  <si>
    <t>login form submit prototype</t>
  </si>
  <si>
    <t>로그인</t>
  </si>
  <si>
    <t>실인증 제외·오류/로딩·autocomplete·다크 카드 대비</t>
  </si>
  <si>
    <t>AI-ONE Platform 프로젝트 점검표</t>
  </si>
  <si>
    <t>현행 AI-ONE은 분석 기준선으로만 사용 · 구현은 local-common-ui/에 격리 · Figma 원본과 코드 규격의 일치 여부는 매핑 상태로 관리</t>
  </si>
  <si>
    <t>점검 범위</t>
  </si>
  <si>
    <t>대상</t>
  </si>
  <si>
    <t>재사용 구분</t>
  </si>
  <si>
    <t>확인 파일</t>
  </si>
  <si>
    <t>현재 상태</t>
  </si>
  <si>
    <t>근거/관찰</t>
  </si>
  <si>
    <t>위험도</t>
  </si>
  <si>
    <t>본 점검 항목</t>
  </si>
  <si>
    <t>완료 기준</t>
  </si>
  <si>
    <t>계획일</t>
  </si>
  <si>
    <t>예상시간(h)</t>
  </si>
  <si>
    <t>무영향 기준선</t>
  </si>
  <si>
    <t>기존 AI-ONE 자산</t>
  </si>
  <si>
    <t>혼합</t>
  </si>
  <si>
    <t>pages/ · css/ · js/ · assets/</t>
  </si>
  <si>
    <t>초기 확인</t>
  </si>
  <si>
    <t>현행 자산은 참조 전용; 신규 작업 경로는 local-common-ui/</t>
  </si>
  <si>
    <t>높음</t>
  </si>
  <si>
    <t>작업 전후 변경 파일과 참조 연결 여부</t>
  </si>
  <si>
    <t>기존 자산 변경 0건·신규 경로에서 기존 자산 참조 0건</t>
  </si>
  <si>
    <t>D1</t>
  </si>
  <si>
    <t>UI 목록</t>
  </si>
  <si>
    <t>55개 컴포넌트</t>
  </si>
  <si>
    <t>컴포넌트 목록</t>
  </si>
  <si>
    <t>초기 통과</t>
  </si>
  <si>
    <t>현행 코드 기준 55개 목록과 사용 범위 작성</t>
  </si>
  <si>
    <t>낮음</t>
  </si>
  <si>
    <t>누락·이름·코드 연결 재확인</t>
  </si>
  <si>
    <t>55개 행에 코드·사용 화면·재사용 구분 존재</t>
  </si>
  <si>
    <t>컴포넌트 규격</t>
  </si>
  <si>
    <t>Variant·Size·높이·Padding·Gap·Typography·Radius 초안 존재</t>
  </si>
  <si>
    <t>중간</t>
  </si>
  <si>
    <t>코드 computed 값과 예외 규칙 확인</t>
  </si>
  <si>
    <t>각 항목에 코드 규격과 미확정 값이 구분됨</t>
  </si>
  <si>
    <t>Figma-코드 매핑</t>
  </si>
  <si>
    <t>Figma·중복 매핑</t>
  </si>
  <si>
    <t>주의</t>
  </si>
  <si>
    <t>Figma 링크/Node ID가 제공되지 않아 코드 기준 제안값만 작성 가능</t>
  </si>
  <si>
    <t>Figma 이름·Property·Variant·토큰과 코드 규격 대조</t>
  </si>
  <si>
    <t>원본이 없으면 원본 확인 필요로 유지; 제공 후 일치/차이를 확정</t>
  </si>
  <si>
    <t>중복/유사 분석</t>
  </si>
  <si>
    <t>Selector·API·화면 조합</t>
  </si>
  <si>
    <t>컴포넌트 목록 · Figma·중복 매핑</t>
  </si>
  <si>
    <t>본 점검 필요</t>
  </si>
  <si>
    <t>Skeleton·Badge·Button·Sidebar·Drawer·Tab·Document·Answer 계열 후보 식별</t>
  </si>
  <si>
    <t>동일 역할/규격/런타임/상태 차이 비교</t>
  </si>
  <si>
    <t>후보별 통합/variant/전용 유지 결정과 근거 기록</t>
  </si>
  <si>
    <t>D2</t>
  </si>
  <si>
    <t>공용성 구분</t>
  </si>
  <si>
    <t>컴포넌트 목록 N열</t>
  </si>
  <si>
    <t>전 프로젝트 33·AI 서비스 8·AI-ONE 전용 14로 구분</t>
  </si>
  <si>
    <t>범용성·데이터 모델·브랜드 의존 재검토</t>
  </si>
  <si>
    <t>55개 모두 공용성 및 결정 사유가 기록됨</t>
  </si>
  <si>
    <t>신규 로컬 폴더</t>
  </si>
  <si>
    <t>계획</t>
  </si>
  <si>
    <t>현재 저장소에는 해당 폴더가 없으며 신규 독립 영역으로 계획</t>
  </si>
  <si>
    <t>기존 CSS/JS import·include·runtime 전역 충돌</t>
  </si>
  <si>
    <t>독립 index에서만 로드되고 기존 페이지에서 참조하지 않음</t>
  </si>
  <si>
    <t>토큰 계약</t>
  </si>
  <si>
    <t>Color/Type/Space/Radius</t>
  </si>
  <si>
    <t>local-common-ui/css/tokens.css</t>
  </si>
  <si>
    <t>현행 ai-theme/common 값을 읽어 독립 토큰 초안 작성</t>
  </si>
  <si>
    <t>Figma Variable명과 CSS custom property 대응</t>
  </si>
  <si>
    <t>코드 토큰·Figma 제안명·값·상태가 1:1 표로 연결됨</t>
  </si>
  <si>
    <t>1차 Primitive</t>
  </si>
  <si>
    <t>Token/Button/Field·Input/Badge/Icon</t>
  </si>
  <si>
    <t>local-common-ui/components/</t>
  </si>
  <si>
    <t>현행 규격을 복제·정리하되 기존 파일은 수정하지 않음</t>
  </si>
  <si>
    <t>variant/state/size/접근성·Figma Property</t>
  </si>
  <si>
    <t>독립 카탈로그에서 기본/상태/크기 샘플이 표시됨</t>
  </si>
  <si>
    <t>D3</t>
  </si>
  <si>
    <t>1차 Layer</t>
  </si>
  <si>
    <t>Modal</t>
  </si>
  <si>
    <t>local-common-ui/components/modal/</t>
  </si>
  <si>
    <t>공통화 우선순위 P0 중 대표 상호작용 컴포넌트</t>
  </si>
  <si>
    <t>open/close/Escape/backdrop/focus trap/return</t>
  </si>
  <si>
    <t>독립 데모에서 키보드 흐름과 상태 계약 확인</t>
  </si>
  <si>
    <t>접근성 계약</t>
  </si>
  <si>
    <t>1차 구현 6개</t>
  </si>
  <si>
    <t>기존 접근성 유틸리티는 참조만 하고 독립 계약으로 재현</t>
  </si>
  <si>
    <t>이름·역할·상태·포커스·키보드</t>
  </si>
  <si>
    <t>대표 키보드 경로 PASS 또는 이슈 백로그</t>
  </si>
  <si>
    <t>D3.5</t>
  </si>
  <si>
    <t>Chat/Prompt/Document 조합</t>
  </si>
  <si>
    <t>기존 common/page 자산</t>
  </si>
  <si>
    <t>이번 구현보다 규격/조합 경계 정의가 우선</t>
  </si>
  <si>
    <t>데이터 계약과 범용 primitive 의존성</t>
  </si>
  <si>
    <t>별도 매핑표에 조합 계약과 2차 후보 상태 기록</t>
  </si>
  <si>
    <t>14개 업무/브랜드 UI</t>
  </si>
  <si>
    <t>기존 page 자산</t>
  </si>
  <si>
    <t>결정 완료</t>
  </si>
  <si>
    <t>기존 페이지에 유지하고 직접 변경·교체하지 않음</t>
  </si>
  <si>
    <t>공통 primitive로 분리 가능한 내부 요소만 식별</t>
  </si>
  <si>
    <t>전용 유지 사유와 공통 후보가 구분됨</t>
  </si>
  <si>
    <t>런타임 생성</t>
  </si>
  <si>
    <t>Skeleton/Chip/Layer</t>
  </si>
  <si>
    <t>기존 common.js 참조</t>
  </si>
  <si>
    <t>정적 코드만으로 사용 여부 확정 불가</t>
  </si>
  <si>
    <t>생성/초기화/상태 계약을 독립 데모로 재현</t>
  </si>
  <si>
    <t>기존 런타임 연결 없이 샘플 또는 백로그로 분리</t>
  </si>
  <si>
    <t>독립 반응형</t>
  </si>
  <si>
    <t>local-common-ui/index.html</t>
  </si>
  <si>
    <t>기존 앱 반응형은 변경하지 않음</t>
  </si>
  <si>
    <t>320/768/1024/1440 카탈로그 레이아웃</t>
  </si>
  <si>
    <t>독립 UI 영역에서 겹침/잘림 없음</t>
  </si>
  <si>
    <t>기존 화면 무영향</t>
  </si>
  <si>
    <t>6개 HTML</t>
  </si>
  <si>
    <t>pages/*.html</t>
  </si>
  <si>
    <t>분석 대상일 뿐 적용·교체 대상이 아님</t>
  </si>
  <si>
    <t>작업 전후 파일 해시·git diff</t>
  </si>
  <si>
    <t>pages 변경 0건</t>
  </si>
  <si>
    <t>기존 공통 자산 무영향</t>
  </si>
  <si>
    <t>공통 CSS/JS</t>
  </si>
  <si>
    <t>css/common.css · js/common.js</t>
  </si>
  <si>
    <t>별도 UI 구현의 소스 참고 대상</t>
  </si>
  <si>
    <t>직접 수정·import·include 여부</t>
  </si>
  <si>
    <t>css/js/assets 변경 0건</t>
  </si>
  <si>
    <t>Git remote</t>
  </si>
  <si>
    <t>로컬 작업</t>
  </si>
  <si>
    <t>사용자 요청에 따라 원격 반영하지 않음</t>
  </si>
  <si>
    <t>push/PR/deploy 실행 여부</t>
  </si>
  <si>
    <t>원격 작업 0건</t>
  </si>
  <si>
    <t>산출물 묶음</t>
  </si>
  <si>
    <t>문서·독립 UI·백로그</t>
  </si>
  <si>
    <t>docs/ · local-common-ui/</t>
  </si>
  <si>
    <t>엑셀과 독립 로컬 UI를 인계</t>
  </si>
  <si>
    <t>경로·README·매핑표·후보·검증 증거</t>
  </si>
  <si>
    <t>산출물 정의 시트의 Y 항목 누락 없음</t>
  </si>
  <si>
    <t>최종 인수</t>
  </si>
  <si>
    <t>전체</t>
  </si>
  <si>
    <t>엑셀·독립 폴더·검증 로그</t>
  </si>
  <si>
    <t>사용자 최종 점검 1일 별도 확보</t>
  </si>
  <si>
    <t>Figma 미확정·P0 미완료·기존 코드 변경·원격 반영</t>
  </si>
  <si>
    <t>28시간 산출물 완료, 기존 코드 변경 0건, 원격 0건, 이후 사용자 최종 점검 가능</t>
  </si>
  <si>
    <t>3.5일 실행 일정</t>
  </si>
  <si>
    <t>총 28시간 · 기존 AI-ONE 코드 변경 0건 · local-common-ui/ 독립 HTML/CSS/JS 카탈로그 · Figma-코드 매핑 기반 · 원격 반영 없음 · 사용자 최종 점검 1일 별도</t>
  </si>
  <si>
    <t>일차</t>
  </si>
  <si>
    <t>누적 시간</t>
  </si>
  <si>
    <t>업무</t>
  </si>
  <si>
    <t>상세 범위</t>
  </si>
  <si>
    <t>단계 산출물</t>
  </si>
  <si>
    <t>완료 조건/주의</t>
  </si>
  <si>
    <t>0~1h</t>
  </si>
  <si>
    <t>범위·무영향 기준 확정</t>
  </si>
  <si>
    <t>기존 pages/css/js/assets는 참조 전용, local-common-ui/만 신규 작업 대상으로 고정</t>
  </si>
  <si>
    <t>무영향 기준·경로 규칙</t>
  </si>
  <si>
    <t>기존 코드 적용/교체와 원격 반영 금지</t>
  </si>
  <si>
    <t>1~4h</t>
  </si>
  <si>
    <t>현재 UI 목록 확정</t>
  </si>
  <si>
    <t>55개 컴포넌트의 이름·코드 연결·런타임·사용 화면·공용성 재확인</t>
  </si>
  <si>
    <t>컴포넌트 목록 v1</t>
  </si>
  <si>
    <t>현재 코드 기준 초안 55개 존재</t>
  </si>
  <si>
    <t>4~8h</t>
  </si>
  <si>
    <t>규격·Figma 매핑 기반</t>
  </si>
  <si>
    <t>Variant·Size·높이·Padding·Gap·Typography·Radius와 Figma 제안명/Property/Node 상태 정리</t>
  </si>
  <si>
    <t>Figma·코드 매핑 v1</t>
  </si>
  <si>
    <t>Figma 원본 미제공 항목은 확인 필요로 표시</t>
  </si>
  <si>
    <t>8~11h</t>
  </si>
  <si>
    <t>중복·유사 후보 분석</t>
  </si>
  <si>
    <t>Skeleton·Badge·Button·Sidebar·Layer·Tab·Document·Answer 계열의 역할/규격/런타임 차이 비교</t>
  </si>
  <si>
    <t>중복·유사 후보표</t>
  </si>
  <si>
    <t>후보를 곧바로 통합하지 않고 결정 근거 작성</t>
  </si>
  <si>
    <t>11~13h</t>
  </si>
  <si>
    <t>공용/AI/전용 결정</t>
  </si>
  <si>
    <t>전 프로젝트 공용·AI 서비스 공용·AI-ONE 전용 분류와 1차 구현 우선순위 확정</t>
  </si>
  <si>
    <t>공용성·우선순위표</t>
  </si>
  <si>
    <t>AI-ONE 전용은 기존 페이지에 유지</t>
  </si>
  <si>
    <t>13~16h</t>
  </si>
  <si>
    <t>독립 UI 골격·토큰 계약</t>
  </si>
  <si>
    <t>local-common-ui/의 index·README·tokens·component 구조와 Figma Variable↔CSS 토큰 표준 정의</t>
  </si>
  <si>
    <t>독립 UI 골격·토큰표</t>
  </si>
  <si>
    <t>기존 공통 CSS/JS를 직접 연결하지 않음</t>
  </si>
  <si>
    <t>16~21h</t>
  </si>
  <si>
    <t>1차 Primitive 구현</t>
  </si>
  <si>
    <t>Token·Button·Field/Input·Badge·Icon을 현행 규격 기반으로 별도 HTML/CSS/JS 영역에 구현</t>
  </si>
  <si>
    <t>Primitive 샘플 5종</t>
  </si>
  <si>
    <t>기존 파일은 참고만 하고 독립 class/API 사용</t>
  </si>
  <si>
    <t>21~24h</t>
  </si>
  <si>
    <t>1차 Layer 구현</t>
  </si>
  <si>
    <t>Modal 1종의 Variant·접근성·open/close/Escape/backdrop/focus 계약을 독립 데모로 구현</t>
  </si>
  <si>
    <t>Modal 독립 샘플</t>
  </si>
  <si>
    <t>기존 AIOneModal을 교체하거나 연결하지 않음</t>
  </si>
  <si>
    <t>24~26h</t>
  </si>
  <si>
    <t>독립 카탈로그 스모크</t>
  </si>
  <si>
    <t>6개 1차 샘플의 상태·키보드·320/768/1024/1440 대표폭 확인</t>
  </si>
  <si>
    <t>브라우저 근거·이슈 로그</t>
  </si>
  <si>
    <t>기존 AI-ONE 화면 회귀 테스트가 아니라 독립 영역 검증</t>
  </si>
  <si>
    <t>26~27h</t>
  </si>
  <si>
    <t>Figma 차이·2차 백로그</t>
  </si>
  <si>
    <t>Figma 미확정, 중복 후보, 2차 공통화 항목을 우선순위와 완료 기준으로 정리</t>
  </si>
  <si>
    <t>매핑 차이·2차 백로그</t>
  </si>
  <si>
    <t>Figma 링크 제공 전 실제 일치 판정 보류</t>
  </si>
  <si>
    <t>27~28h</t>
  </si>
  <si>
    <t>무영향 검증·인계</t>
  </si>
  <si>
    <t>기존 자산 변경 0건·참조 연결 0건·원격 0건 확인 후 엑셀/독립 UI/체크리스트 인계</t>
  </si>
  <si>
    <t>최종 산출물 묶음</t>
  </si>
  <si>
    <t>이후 사용자 최종 점검 1일 별도</t>
  </si>
  <si>
    <t>합계 (3.5인일 × 8시간)</t>
  </si>
  <si>
    <t>정확한 산출물 정의</t>
  </si>
  <si>
    <t>현행 AI-ONE을 참조해 목록·규격·중복·공용성을 정리하고 local-common-ui/에 독립 샘플을 구현하는 산출물 · 기존 코드 및 원격 영향 없음</t>
  </si>
  <si>
    <t>정확한 경로</t>
  </si>
  <si>
    <t>시트/형태</t>
  </si>
  <si>
    <t>내용</t>
  </si>
  <si>
    <t>완료 시점</t>
  </si>
  <si>
    <t>3.5일 포함</t>
  </si>
  <si>
    <t>비고</t>
  </si>
  <si>
    <t>현재 산출</t>
  </si>
  <si>
    <t>docs/공통 컴포넌트 정리.xlsx</t>
  </si>
  <si>
    <t>요약</t>
  </si>
  <si>
    <t>범위·가용시간·무영향 원칙·Figma 전제·재사용 기준</t>
  </si>
  <si>
    <t>기존 변경 0건과 독립 경로가 명시됨</t>
  </si>
  <si>
    <t>작성 완료</t>
  </si>
  <si>
    <t>이 파일</t>
  </si>
  <si>
    <t>55개 UI 목록·규격·코드/API·사용 화면·공용성</t>
  </si>
  <si>
    <t>55행 누락 없이 필터 가능</t>
  </si>
  <si>
    <t>현재 코드 기준</t>
  </si>
  <si>
    <t>프로젝트 점검·3.5일 일정</t>
  </si>
  <si>
    <t>기존 코드 무영향 기준과 총 28시간 실행 계획</t>
  </si>
  <si>
    <t>합계 28시간·기존 변경 0건·원격 0건</t>
  </si>
  <si>
    <t>사용자 최종 점검 1일 별도</t>
  </si>
  <si>
    <t>예정 산출</t>
  </si>
  <si>
    <t>local-common-ui/README.md</t>
  </si>
  <si>
    <t>작업 원칙/규격 계약</t>
  </si>
  <si>
    <t>폴더 구조·Figma-코드 매핑 규칙·컴포넌트 작성 규칙·기존 AI-ONE 비연결 원칙</t>
  </si>
  <si>
    <t>단독 실행/수정 방법과 금지 범위가 명확함</t>
  </si>
  <si>
    <t>로컬 전용</t>
  </si>
  <si>
    <t>독립 공통 UI 카탈로그</t>
  </si>
  <si>
    <t>1차 구현 6개 컴포넌트의 규격·Variant·State·접근성 데모</t>
  </si>
  <si>
    <t>기존 페이지나 공통 자산을 로드하지 않고 독립 표시</t>
  </si>
  <si>
    <t>Token/Button/Field/Input/Badge/Icon/Modal 중 Field·Input 묶음</t>
  </si>
  <si>
    <t>local-common-ui/css/tokens.css · catalog.css</t>
  </si>
  <si>
    <t>토큰/카탈로그 스타일</t>
  </si>
  <si>
    <t>Figma Variable 제안명과 CSS custom property 및 독립 레이아웃</t>
  </si>
  <si>
    <t>코드 값·Figma 제안명·사용처가 추적 가능</t>
  </si>
  <si>
    <t>기존 css 수정 없음</t>
  </si>
  <si>
    <t>local-common-ui/components/ · js/</t>
  </si>
  <si>
    <t>독립 컴포넌트 구현</t>
  </si>
  <si>
    <t>1차 Primitive 5종과 Modal 1종의 HTML/CSS/JS 계약</t>
  </si>
  <si>
    <t>독립 class/API와 상태·키보드 샘플이 동작</t>
  </si>
  <si>
    <t>기존 js 수정·연결 없음</t>
  </si>
  <si>
    <t>데이터 표시</t>
    <phoneticPr fontId="10" type="noConversion"/>
  </si>
  <si>
    <t>숫자</t>
    <phoneticPr fontId="10" type="noConversion"/>
  </si>
  <si>
    <t>배지</t>
    <phoneticPr fontId="10" type="noConversion"/>
  </si>
  <si>
    <t>badge · blue/green/yellow/purple/red/gray · error icon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</si>
</sst>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&quot;건&quot;"/>
  </numFmts>
  <fonts count="11" x14ac:knownFonts="1">
    <font>
      <sz val="11"/>
      <color theme="1"/>
      <name val="맑은 고딕"/>
    </font>
    <font>
      <b/>
      <sz val="18"/>
      <color rgb="FFFFFFFF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1F1F1F"/>
      <name val="맑은 고딕"/>
      <family val="3"/>
      <charset val="129"/>
    </font>
    <font>
      <b/>
      <sz val="9"/>
      <color rgb="FF1F1F1F"/>
      <name val="맑은 고딕"/>
      <family val="3"/>
      <charset val="129"/>
    </font>
    <font>
      <b/>
      <sz val="9"/>
      <color rgb="FF7F6000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9"/>
      <color rgb="FF1F4E78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C6E7F5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 style="medium">
        <color rgb="FF1F4E78"/>
      </left>
      <right/>
      <top/>
      <bottom/>
      <diagonal/>
    </border>
    <border>
      <left/>
      <right style="medium">
        <color rgb="FF1F4E78"/>
      </right>
      <top/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/>
      <bottom style="thin">
        <color rgb="FFD9E2E8"/>
      </bottom>
      <diagonal/>
    </border>
    <border>
      <left/>
      <right/>
      <top/>
      <bottom style="thin">
        <color rgb="FFD9E2E8"/>
      </bottom>
      <diagonal/>
    </border>
    <border>
      <left/>
      <right style="thin">
        <color rgb="FFB7C9D6"/>
      </right>
      <top/>
      <bottom style="thin">
        <color rgb="FFD9E2E8"/>
      </bottom>
      <diagonal/>
    </border>
    <border>
      <left style="thin">
        <color rgb="FFB7C9D6"/>
      </left>
      <right/>
      <top style="thin">
        <color rgb="FFD9E2E8"/>
      </top>
      <bottom style="thin">
        <color rgb="FFD9E2E8"/>
      </bottom>
      <diagonal/>
    </border>
    <border>
      <left/>
      <right/>
      <top style="thin">
        <color rgb="FFD9E2E8"/>
      </top>
      <bottom style="thin">
        <color rgb="FFD9E2E8"/>
      </bottom>
      <diagonal/>
    </border>
    <border>
      <left/>
      <right style="thin">
        <color rgb="FFB7C9D6"/>
      </right>
      <top style="thin">
        <color rgb="FFD9E2E8"/>
      </top>
      <bottom style="thin">
        <color rgb="FFD9E2E8"/>
      </bottom>
      <diagonal/>
    </border>
    <border>
      <left style="thin">
        <color rgb="FFB7C9D6"/>
      </left>
      <right/>
      <top style="thin">
        <color rgb="FFD9E2E8"/>
      </top>
      <bottom style="thin">
        <color rgb="FFB7C9D6"/>
      </bottom>
      <diagonal/>
    </border>
    <border>
      <left/>
      <right/>
      <top style="thin">
        <color rgb="FFD9E2E8"/>
      </top>
      <bottom style="thin">
        <color rgb="FFB7C9D6"/>
      </bottom>
      <diagonal/>
    </border>
    <border>
      <left/>
      <right style="thin">
        <color rgb="FFB7C9D6"/>
      </right>
      <top style="thin">
        <color rgb="FFD9E2E8"/>
      </top>
      <bottom style="thin">
        <color rgb="FFB7C9D6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B4C7DC"/>
      </bottom>
      <diagonal/>
    </border>
    <border>
      <left/>
      <right/>
      <top style="thin">
        <color rgb="FFB4C7DC"/>
      </top>
      <bottom style="thin">
        <color rgb="FFB4C7DC"/>
      </bottom>
      <diagonal/>
    </border>
    <border>
      <left style="thin">
        <color rgb="FFB7C9D6"/>
      </left>
      <right/>
      <top/>
      <bottom style="thin">
        <color rgb="FFB4C7DC"/>
      </bottom>
      <diagonal/>
    </border>
    <border>
      <left/>
      <right style="thin">
        <color rgb="FFB7C9D6"/>
      </right>
      <top/>
      <bottom style="thin">
        <color rgb="FFB4C7DC"/>
      </bottom>
      <diagonal/>
    </border>
    <border>
      <left style="thin">
        <color rgb="FFB7C9D6"/>
      </left>
      <right/>
      <top style="thin">
        <color rgb="FFB4C7DC"/>
      </top>
      <bottom style="thin">
        <color rgb="FFB4C7DC"/>
      </bottom>
      <diagonal/>
    </border>
    <border>
      <left/>
      <right style="thin">
        <color rgb="FFB7C9D6"/>
      </right>
      <top style="thin">
        <color rgb="FFB4C7DC"/>
      </top>
      <bottom style="thin">
        <color rgb="FFB4C7DC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16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5" fillId="0" borderId="17" xfId="0" applyFont="1" applyBorder="1" applyAlignment="1">
      <alignment vertical="top" wrapText="1"/>
    </xf>
    <xf numFmtId="0" fontId="4" fillId="0" borderId="11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9" xfId="0" applyFont="1" applyBorder="1" applyAlignment="1">
      <alignment vertical="top" wrapText="1"/>
    </xf>
    <xf numFmtId="176" fontId="4" fillId="0" borderId="11" xfId="0" applyNumberFormat="1" applyFont="1" applyBorder="1" applyAlignment="1">
      <alignment horizontal="center" vertical="top" wrapText="1"/>
    </xf>
    <xf numFmtId="176" fontId="4" fillId="0" borderId="14" xfId="0" applyNumberFormat="1" applyFont="1" applyBorder="1" applyAlignment="1">
      <alignment horizontal="center" vertical="top" wrapText="1"/>
    </xf>
    <xf numFmtId="176" fontId="4" fillId="0" borderId="17" xfId="0" applyNumberFormat="1" applyFont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top" wrapText="1"/>
    </xf>
    <xf numFmtId="0" fontId="8" fillId="6" borderId="10" xfId="0" applyFont="1" applyFill="1" applyBorder="1" applyAlignment="1">
      <alignment vertical="top" wrapText="1"/>
    </xf>
    <xf numFmtId="0" fontId="8" fillId="6" borderId="13" xfId="0" applyFont="1" applyFill="1" applyBorder="1" applyAlignment="1">
      <alignment vertical="top" wrapText="1"/>
    </xf>
    <xf numFmtId="0" fontId="8" fillId="6" borderId="16" xfId="0" applyFont="1" applyFill="1" applyBorder="1" applyAlignment="1">
      <alignment vertical="top" wrapText="1"/>
    </xf>
    <xf numFmtId="0" fontId="7" fillId="5" borderId="19" xfId="0" applyFont="1" applyFill="1" applyBorder="1" applyAlignment="1">
      <alignment horizontal="center" vertical="center" wrapText="1"/>
    </xf>
    <xf numFmtId="177" fontId="4" fillId="0" borderId="17" xfId="0" applyNumberFormat="1" applyFont="1" applyBorder="1" applyAlignment="1">
      <alignment horizontal="center" vertical="top" wrapText="1"/>
    </xf>
    <xf numFmtId="177" fontId="4" fillId="0" borderId="18" xfId="0" applyNumberFormat="1" applyFont="1" applyBorder="1" applyAlignment="1">
      <alignment horizontal="center" vertical="top" wrapText="1"/>
    </xf>
    <xf numFmtId="0" fontId="9" fillId="8" borderId="20" xfId="0" applyFont="1" applyFill="1" applyBorder="1" applyAlignment="1">
      <alignment vertical="top" wrapText="1"/>
    </xf>
    <xf numFmtId="0" fontId="9" fillId="8" borderId="21" xfId="0" applyFont="1" applyFill="1" applyBorder="1" applyAlignment="1">
      <alignment vertical="top" wrapText="1"/>
    </xf>
    <xf numFmtId="0" fontId="9" fillId="8" borderId="20" xfId="0" applyFont="1" applyFill="1" applyBorder="1" applyAlignment="1">
      <alignment horizontal="center" vertical="top" wrapText="1"/>
    </xf>
    <xf numFmtId="0" fontId="9" fillId="9" borderId="20" xfId="0" applyFont="1" applyFill="1" applyBorder="1" applyAlignment="1">
      <alignment horizontal="center" vertical="top" wrapText="1"/>
    </xf>
    <xf numFmtId="0" fontId="9" fillId="9" borderId="21" xfId="0" applyFont="1" applyFill="1" applyBorder="1" applyAlignment="1">
      <alignment horizontal="center" vertical="top" wrapText="1"/>
    </xf>
    <xf numFmtId="0" fontId="9" fillId="8" borderId="21" xfId="0" applyFont="1" applyFill="1" applyBorder="1" applyAlignment="1">
      <alignment horizontal="center" vertical="top" wrapText="1"/>
    </xf>
    <xf numFmtId="0" fontId="9" fillId="8" borderId="22" xfId="0" applyFont="1" applyFill="1" applyBorder="1" applyAlignment="1">
      <alignment horizontal="center" vertical="top" wrapText="1"/>
    </xf>
    <xf numFmtId="0" fontId="9" fillId="8" borderId="23" xfId="0" applyFont="1" applyFill="1" applyBorder="1" applyAlignment="1">
      <alignment vertical="top" wrapText="1"/>
    </xf>
    <xf numFmtId="0" fontId="9" fillId="10" borderId="24" xfId="0" applyFont="1" applyFill="1" applyBorder="1" applyAlignment="1">
      <alignment horizontal="center" vertical="top" wrapText="1"/>
    </xf>
    <xf numFmtId="0" fontId="9" fillId="10" borderId="21" xfId="0" applyFont="1" applyFill="1" applyBorder="1" applyAlignment="1">
      <alignment horizontal="center" vertical="top" wrapText="1"/>
    </xf>
    <xf numFmtId="0" fontId="9" fillId="10" borderId="21" xfId="0" applyFont="1" applyFill="1" applyBorder="1" applyAlignment="1">
      <alignment vertical="top" wrapText="1"/>
    </xf>
    <xf numFmtId="0" fontId="9" fillId="10" borderId="25" xfId="0" applyFont="1" applyFill="1" applyBorder="1" applyAlignment="1">
      <alignment vertical="top" wrapText="1"/>
    </xf>
    <xf numFmtId="0" fontId="9" fillId="8" borderId="24" xfId="0" applyFont="1" applyFill="1" applyBorder="1" applyAlignment="1">
      <alignment horizontal="center" vertical="top" wrapText="1"/>
    </xf>
    <xf numFmtId="0" fontId="9" fillId="8" borderId="25" xfId="0" applyFont="1" applyFill="1" applyBorder="1" applyAlignment="1">
      <alignment vertical="top" wrapText="1"/>
    </xf>
    <xf numFmtId="0" fontId="9" fillId="7" borderId="21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5" borderId="0" xfId="0" applyFont="1" applyFill="1">
      <alignment vertical="center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2" fillId="3" borderId="6" xfId="0" applyFont="1" applyFill="1" applyBorder="1" applyAlignment="1">
      <alignment horizontal="left" vertical="center" wrapText="1"/>
    </xf>
    <xf numFmtId="0" fontId="7" fillId="5" borderId="19" xfId="0" applyFont="1" applyFill="1" applyBorder="1" applyAlignment="1">
      <alignment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</cellXfs>
  <cellStyles count="1">
    <cellStyle name="표준" xfId="0" builtinId="0"/>
  </cellStyles>
  <dxfs count="35">
    <dxf>
      <font>
        <b/>
        <color rgb="FF595959"/>
      </font>
      <fill>
        <patternFill>
          <bgColor rgb="FFE7E6E6"/>
        </patternFill>
      </fill>
    </dxf>
    <dxf>
      <font>
        <b/>
        <color rgb="FF2F641C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2F641C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2F641C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2F641C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2F641C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2F641C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2F641C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5F497A"/>
      </font>
      <fill>
        <patternFill>
          <bgColor rgb="FFE4DFEC"/>
        </patternFill>
      </fill>
    </dxf>
    <dxf>
      <font>
        <b/>
        <color rgb="FF2F641C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5F497A"/>
      </font>
      <fill>
        <patternFill>
          <bgColor rgb="FFE4DFEC"/>
        </patternFill>
      </fill>
    </dxf>
    <dxf>
      <font>
        <b/>
        <color rgb="FF2F641C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5F497A"/>
      </font>
      <fill>
        <patternFill>
          <bgColor rgb="FFE4DFEC"/>
        </patternFill>
      </fill>
    </dxf>
    <dxf>
      <font>
        <b/>
        <color rgb="FF2F641C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onentInventoryTable" displayName="ComponentInventoryTable" ref="A5:T61" totalsRowShown="0">
  <tableColumns count="20">
    <tableColumn id="1" xr3:uid="{00000000-0010-0000-0000-000001000000}" name="No."/>
    <tableColumn id="2" xr3:uid="{00000000-0010-0000-0000-000002000000}" name="대분류"/>
    <tableColumn id="3" xr3:uid="{00000000-0010-0000-0000-000003000000}" name="중분류"/>
    <tableColumn id="4" xr3:uid="{00000000-0010-0000-0000-000004000000}" name="컴포넌트"/>
    <tableColumn id="5" xr3:uid="{00000000-0010-0000-0000-000005000000}" name="Variant/상태"/>
    <tableColumn id="6" xr3:uid="{00000000-0010-0000-0000-000006000000}" name="Size"/>
    <tableColumn id="7" xr3:uid="{00000000-0010-0000-0000-000007000000}" name="높이"/>
    <tableColumn id="8" xr3:uid="{00000000-0010-0000-0000-000008000000}" name="Padding"/>
    <tableColumn id="9" xr3:uid="{00000000-0010-0000-0000-000009000000}" name="Gap"/>
    <tableColumn id="10" xr3:uid="{00000000-0010-0000-0000-00000A000000}" name="Typography"/>
    <tableColumn id="11" xr3:uid="{00000000-0010-0000-0000-00000B000000}" name="Radius"/>
    <tableColumn id="12" xr3:uid="{00000000-0010-0000-0000-00000C000000}" name="아이콘 Y/N"/>
    <tableColumn id="13" xr3:uid="{00000000-0010-0000-0000-00000D000000}" name="공통화"/>
    <tableColumn id="14" xr3:uid="{00000000-0010-0000-0000-00000E000000}" name="사용 범위"/>
    <tableColumn id="15" xr3:uid="{00000000-0010-0000-0000-00000F000000}" name="코드 연결"/>
    <tableColumn id="16" xr3:uid="{00000000-0010-0000-0000-000010000000}" name="런타임/데이터 계약"/>
    <tableColumn id="17" xr3:uid="{00000000-0010-0000-0000-000011000000}" name="현재 사용 화면"/>
    <tableColumn id="18" xr3:uid="{00000000-0010-0000-0000-000012000000}" name="정적 상태"/>
    <tableColumn id="19" xr3:uid="{00000000-0010-0000-0000-000013000000}" name="우선순위"/>
    <tableColumn id="20" xr3:uid="{00000000-0010-0000-0000-000014000000}" name="점검 포인트/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jectAuditTable" displayName="ProjectAuditTable" ref="A5:L25" totalsRowShown="0">
  <tableColumns count="12">
    <tableColumn id="1" xr3:uid="{00000000-0010-0000-0100-000001000000}" name="No."/>
    <tableColumn id="2" xr3:uid="{00000000-0010-0000-0100-000002000000}" name="점검 범위"/>
    <tableColumn id="3" xr3:uid="{00000000-0010-0000-0100-000003000000}" name="대상"/>
    <tableColumn id="4" xr3:uid="{00000000-0010-0000-0100-000004000000}" name="재사용 구분"/>
    <tableColumn id="5" xr3:uid="{00000000-0010-0000-0100-000005000000}" name="확인 파일"/>
    <tableColumn id="6" xr3:uid="{00000000-0010-0000-0100-000006000000}" name="현재 상태"/>
    <tableColumn id="7" xr3:uid="{00000000-0010-0000-0100-000007000000}" name="근거/관찰"/>
    <tableColumn id="8" xr3:uid="{00000000-0010-0000-0100-000008000000}" name="위험도"/>
    <tableColumn id="9" xr3:uid="{00000000-0010-0000-0100-000009000000}" name="본 점검 항목"/>
    <tableColumn id="10" xr3:uid="{00000000-0010-0000-0100-00000A000000}" name="완료 기준"/>
    <tableColumn id="11" xr3:uid="{00000000-0010-0000-0100-00000B000000}" name="계획일"/>
    <tableColumn id="12" xr3:uid="{00000000-0010-0000-0100-00000C000000}" name="예상시간(h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cheduleTable" displayName="ScheduleTable" ref="A5:I16" totalsRowShown="0">
  <tableColumns count="9">
    <tableColumn id="1" xr3:uid="{00000000-0010-0000-0200-000001000000}" name="No."/>
    <tableColumn id="2" xr3:uid="{00000000-0010-0000-0200-000002000000}" name="일차"/>
    <tableColumn id="3" xr3:uid="{00000000-0010-0000-0200-000003000000}" name="누적 시간"/>
    <tableColumn id="4" xr3:uid="{00000000-0010-0000-0200-000004000000}" name="업무"/>
    <tableColumn id="5" xr3:uid="{00000000-0010-0000-0200-000005000000}" name="상세 범위"/>
    <tableColumn id="6" xr3:uid="{00000000-0010-0000-0200-000006000000}" name="단계 산출물"/>
    <tableColumn id="7" xr3:uid="{00000000-0010-0000-0200-000007000000}" name="예상시간(h)"/>
    <tableColumn id="8" xr3:uid="{00000000-0010-0000-0200-000008000000}" name="상태"/>
    <tableColumn id="9" xr3:uid="{00000000-0010-0000-0200-000009000000}" name="완료 조건/주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liverablesTable" displayName="DeliverablesTable" ref="A5:J12" totalsRowShown="0">
  <tableColumns count="10">
    <tableColumn id="1" xr3:uid="{00000000-0010-0000-0300-000001000000}" name="No."/>
    <tableColumn id="2" xr3:uid="{00000000-0010-0000-0300-000002000000}" name="구분"/>
    <tableColumn id="3" xr3:uid="{00000000-0010-0000-0300-000003000000}" name="정확한 경로"/>
    <tableColumn id="4" xr3:uid="{00000000-0010-0000-0300-000004000000}" name="시트/형태"/>
    <tableColumn id="5" xr3:uid="{00000000-0010-0000-0300-000005000000}" name="내용"/>
    <tableColumn id="6" xr3:uid="{00000000-0010-0000-0300-000006000000}" name="완료 기준"/>
    <tableColumn id="7" xr3:uid="{00000000-0010-0000-0300-000007000000}" name="완료 시점"/>
    <tableColumn id="8" xr3:uid="{00000000-0010-0000-0300-000008000000}" name="상태"/>
    <tableColumn id="9" xr3:uid="{00000000-0010-0000-0300-000009000000}" name="3.5일 포함"/>
    <tableColumn id="10" xr3:uid="{00000000-0010-0000-0300-00000A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showGridLines="0" workbookViewId="0">
      <selection activeCell="B11" sqref="B11:H11"/>
    </sheetView>
  </sheetViews>
  <sheetFormatPr defaultRowHeight="16.5" x14ac:dyDescent="0.3"/>
  <cols>
    <col min="1" max="1" width="18" customWidth="1"/>
    <col min="2" max="2" width="30" customWidth="1"/>
    <col min="3" max="5" width="18" customWidth="1"/>
    <col min="6" max="6" width="25" customWidth="1"/>
    <col min="7" max="7" width="18" customWidth="1"/>
    <col min="8" max="8" width="25" customWidth="1"/>
    <col min="9" max="9" width="21.375" customWidth="1"/>
    <col min="15" max="15" width="10.375" customWidth="1"/>
    <col min="16" max="16" width="9.625" customWidth="1"/>
  </cols>
  <sheetData>
    <row r="1" spans="1:16" ht="27.95" customHeight="1" x14ac:dyDescent="0.3">
      <c r="A1" s="56" t="s">
        <v>0</v>
      </c>
      <c r="B1" s="57"/>
      <c r="C1" s="57"/>
      <c r="D1" s="57"/>
      <c r="E1" s="57"/>
      <c r="F1" s="57"/>
      <c r="G1" s="57"/>
      <c r="H1" s="58"/>
    </row>
    <row r="2" spans="1:16" ht="27.95" customHeight="1" x14ac:dyDescent="0.3">
      <c r="A2" s="59"/>
      <c r="B2" s="60"/>
      <c r="C2" s="60"/>
      <c r="D2" s="60"/>
      <c r="E2" s="60"/>
      <c r="F2" s="60"/>
      <c r="G2" s="60"/>
      <c r="H2" s="61"/>
    </row>
    <row r="3" spans="1:16" ht="32.1" customHeight="1" thickBot="1" x14ac:dyDescent="0.35">
      <c r="A3" s="72" t="s">
        <v>1</v>
      </c>
      <c r="B3" s="53"/>
      <c r="C3" s="53"/>
      <c r="D3" s="53"/>
      <c r="E3" s="53"/>
      <c r="F3" s="53"/>
      <c r="G3" s="53"/>
      <c r="H3" s="54"/>
      <c r="I3" s="55"/>
      <c r="J3" s="55"/>
      <c r="K3" s="55"/>
      <c r="L3" s="55"/>
      <c r="M3" s="55"/>
      <c r="N3" s="55"/>
      <c r="O3" s="55"/>
      <c r="P3" s="55"/>
    </row>
    <row r="4" spans="1:16" ht="78" customHeight="1" x14ac:dyDescent="0.3">
      <c r="A4" s="73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1:16" ht="36" customHeight="1" x14ac:dyDescent="0.3">
      <c r="A5" s="30" t="s">
        <v>2</v>
      </c>
      <c r="B5" s="30" t="s">
        <v>3</v>
      </c>
      <c r="C5" s="30" t="s">
        <v>2</v>
      </c>
      <c r="D5" s="30" t="s">
        <v>3</v>
      </c>
      <c r="E5" s="30" t="s">
        <v>2</v>
      </c>
      <c r="F5" s="30" t="s">
        <v>3</v>
      </c>
      <c r="G5" s="30" t="s">
        <v>4</v>
      </c>
      <c r="H5" s="30" t="s">
        <v>3</v>
      </c>
    </row>
    <row r="6" spans="1:16" ht="33.950000000000003" customHeight="1" x14ac:dyDescent="0.3">
      <c r="A6" s="7" t="s">
        <v>5</v>
      </c>
      <c r="B6" s="13">
        <f>COUNTA('컴포넌트 목록'!A6:A61)</f>
        <v>56</v>
      </c>
      <c r="C6" s="14" t="s">
        <v>6</v>
      </c>
      <c r="D6" s="13">
        <f>COUNTIF('컴포넌트 목록'!N6:N61,"전 프로젝트 공용")</f>
        <v>33</v>
      </c>
      <c r="E6" s="14" t="s">
        <v>7</v>
      </c>
      <c r="F6" s="13">
        <f>COUNTIF('컴포넌트 목록'!N6:N61,"AI 서비스 공용")</f>
        <v>8</v>
      </c>
      <c r="G6" s="14" t="s">
        <v>8</v>
      </c>
      <c r="H6" s="15">
        <f>COUNTIF('컴포넌트 목록'!N6:N61,"AI-ONE 전용")</f>
        <v>14</v>
      </c>
    </row>
    <row r="7" spans="1:16" ht="33.950000000000003" customHeight="1" x14ac:dyDescent="0.3">
      <c r="A7" s="8" t="s">
        <v>9</v>
      </c>
      <c r="B7" s="16">
        <f>'3.5일 일정'!G17</f>
        <v>28</v>
      </c>
      <c r="C7" s="17" t="s">
        <v>10</v>
      </c>
      <c r="D7" s="16">
        <v>28</v>
      </c>
      <c r="E7" s="17" t="s">
        <v>11</v>
      </c>
      <c r="F7" s="16" t="s">
        <v>12</v>
      </c>
      <c r="G7" s="17" t="s">
        <v>13</v>
      </c>
      <c r="H7" s="31" t="str">
        <f>IF(B7=D7,"조건부 가능","시간 재산정")</f>
        <v>조건부 가능</v>
      </c>
    </row>
    <row r="8" spans="1:16" ht="33.950000000000003" customHeight="1" x14ac:dyDescent="0.3">
      <c r="A8" s="9" t="s">
        <v>14</v>
      </c>
      <c r="B8" s="36">
        <v>0</v>
      </c>
      <c r="C8" s="20" t="s">
        <v>15</v>
      </c>
      <c r="D8" s="19" t="s">
        <v>16</v>
      </c>
      <c r="E8" s="20" t="s">
        <v>17</v>
      </c>
      <c r="F8" s="19" t="s">
        <v>18</v>
      </c>
      <c r="G8" s="20" t="s">
        <v>19</v>
      </c>
      <c r="H8" s="37">
        <v>0</v>
      </c>
    </row>
    <row r="10" spans="1:16" x14ac:dyDescent="0.3">
      <c r="A10" s="62" t="s">
        <v>20</v>
      </c>
      <c r="B10" s="62"/>
      <c r="C10" s="62"/>
      <c r="D10" s="62"/>
      <c r="E10" s="62"/>
      <c r="F10" s="62"/>
      <c r="G10" s="62"/>
      <c r="H10" s="62"/>
    </row>
    <row r="11" spans="1:16" ht="39.950000000000003" customHeight="1" x14ac:dyDescent="0.3">
      <c r="A11" s="32" t="s">
        <v>21</v>
      </c>
      <c r="B11" s="63" t="s">
        <v>22</v>
      </c>
      <c r="C11" s="63"/>
      <c r="D11" s="63"/>
      <c r="E11" s="63"/>
      <c r="F11" s="63"/>
      <c r="G11" s="63"/>
      <c r="H11" s="64"/>
    </row>
    <row r="12" spans="1:16" ht="39.950000000000003" customHeight="1" x14ac:dyDescent="0.3">
      <c r="A12" s="33" t="s">
        <v>23</v>
      </c>
      <c r="B12" s="65" t="s">
        <v>24</v>
      </c>
      <c r="C12" s="65"/>
      <c r="D12" s="65"/>
      <c r="E12" s="65"/>
      <c r="F12" s="65"/>
      <c r="G12" s="65"/>
      <c r="H12" s="66"/>
    </row>
    <row r="13" spans="1:16" ht="39.950000000000003" customHeight="1" x14ac:dyDescent="0.3">
      <c r="A13" s="33" t="s">
        <v>4</v>
      </c>
      <c r="B13" s="65" t="s">
        <v>25</v>
      </c>
      <c r="C13" s="65"/>
      <c r="D13" s="65"/>
      <c r="E13" s="65"/>
      <c r="F13" s="65"/>
      <c r="G13" s="65"/>
      <c r="H13" s="66"/>
    </row>
    <row r="14" spans="1:16" ht="39.950000000000003" customHeight="1" x14ac:dyDescent="0.3">
      <c r="A14" s="33" t="s">
        <v>26</v>
      </c>
      <c r="B14" s="65" t="s">
        <v>27</v>
      </c>
      <c r="C14" s="65"/>
      <c r="D14" s="65"/>
      <c r="E14" s="65"/>
      <c r="F14" s="65"/>
      <c r="G14" s="65"/>
      <c r="H14" s="66"/>
    </row>
    <row r="15" spans="1:16" ht="39.950000000000003" customHeight="1" x14ac:dyDescent="0.3">
      <c r="A15" s="33" t="s">
        <v>28</v>
      </c>
      <c r="B15" s="65" t="s">
        <v>29</v>
      </c>
      <c r="C15" s="65"/>
      <c r="D15" s="65"/>
      <c r="E15" s="65"/>
      <c r="F15" s="65"/>
      <c r="G15" s="65"/>
      <c r="H15" s="66"/>
    </row>
    <row r="16" spans="1:16" ht="39.950000000000003" customHeight="1" x14ac:dyDescent="0.3">
      <c r="A16" s="34" t="s">
        <v>30</v>
      </c>
      <c r="B16" s="67" t="s">
        <v>31</v>
      </c>
      <c r="C16" s="67"/>
      <c r="D16" s="67"/>
      <c r="E16" s="67"/>
      <c r="F16" s="67"/>
      <c r="G16" s="67"/>
      <c r="H16" s="68"/>
    </row>
    <row r="18" spans="1:8" x14ac:dyDescent="0.3">
      <c r="A18" s="62" t="s">
        <v>32</v>
      </c>
      <c r="B18" s="62"/>
      <c r="C18" s="62"/>
      <c r="D18" s="62"/>
      <c r="E18" s="62"/>
      <c r="F18" s="62"/>
      <c r="G18" s="62"/>
      <c r="H18" s="62"/>
    </row>
    <row r="19" spans="1:8" ht="42" customHeight="1" x14ac:dyDescent="0.3">
      <c r="A19" s="7" t="s">
        <v>6</v>
      </c>
      <c r="B19" s="63" t="s">
        <v>33</v>
      </c>
      <c r="C19" s="63"/>
      <c r="D19" s="63"/>
      <c r="E19" s="10" t="s">
        <v>34</v>
      </c>
      <c r="F19" s="63" t="s">
        <v>35</v>
      </c>
      <c r="G19" s="63"/>
      <c r="H19" s="64"/>
    </row>
    <row r="20" spans="1:8" ht="42" customHeight="1" x14ac:dyDescent="0.3">
      <c r="A20" s="8" t="s">
        <v>7</v>
      </c>
      <c r="B20" s="65" t="s">
        <v>36</v>
      </c>
      <c r="C20" s="65"/>
      <c r="D20" s="65"/>
      <c r="E20" s="11" t="s">
        <v>37</v>
      </c>
      <c r="F20" s="65" t="s">
        <v>38</v>
      </c>
      <c r="G20" s="65"/>
      <c r="H20" s="66"/>
    </row>
    <row r="21" spans="1:8" ht="42" customHeight="1" x14ac:dyDescent="0.3">
      <c r="A21" s="9" t="s">
        <v>8</v>
      </c>
      <c r="B21" s="67" t="s">
        <v>39</v>
      </c>
      <c r="C21" s="67"/>
      <c r="D21" s="67"/>
      <c r="E21" s="12" t="s">
        <v>40</v>
      </c>
      <c r="F21" s="67" t="s">
        <v>41</v>
      </c>
      <c r="G21" s="67"/>
      <c r="H21" s="68"/>
    </row>
  </sheetData>
  <mergeCells count="17">
    <mergeCell ref="B19:D19"/>
    <mergeCell ref="F19:H19"/>
    <mergeCell ref="B20:D20"/>
    <mergeCell ref="F20:H20"/>
    <mergeCell ref="B21:D21"/>
    <mergeCell ref="F21:H21"/>
    <mergeCell ref="B13:H13"/>
    <mergeCell ref="B14:H14"/>
    <mergeCell ref="B15:H15"/>
    <mergeCell ref="B16:H16"/>
    <mergeCell ref="A18:H18"/>
    <mergeCell ref="B3:P4"/>
    <mergeCell ref="A1:H2"/>
    <mergeCell ref="A10:H10"/>
    <mergeCell ref="B11:H11"/>
    <mergeCell ref="B12:H12"/>
    <mergeCell ref="A3:A4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1"/>
  <sheetViews>
    <sheetView showGridLines="0" tabSelected="1" workbookViewId="0">
      <selection activeCell="E12" sqref="E12"/>
    </sheetView>
  </sheetViews>
  <sheetFormatPr defaultRowHeight="16.5" x14ac:dyDescent="0.3"/>
  <cols>
    <col min="1" max="1" width="6" customWidth="1"/>
    <col min="2" max="2" width="15" customWidth="1"/>
    <col min="3" max="3" width="16" customWidth="1"/>
    <col min="4" max="4" width="24" customWidth="1"/>
    <col min="5" max="5" width="34" customWidth="1"/>
    <col min="6" max="7" width="16" customWidth="1"/>
    <col min="8" max="8" width="22" customWidth="1"/>
    <col min="9" max="9" width="12" customWidth="1"/>
    <col min="10" max="10" width="22" customWidth="1"/>
    <col min="11" max="11" width="14" customWidth="1"/>
    <col min="12" max="12" width="10" customWidth="1"/>
    <col min="13" max="13" width="12" customWidth="1"/>
    <col min="14" max="14" width="18" customWidth="1"/>
    <col min="15" max="16" width="34" customWidth="1"/>
    <col min="17" max="17" width="28" customWidth="1"/>
    <col min="18" max="18" width="24" customWidth="1"/>
    <col min="19" max="19" width="10" customWidth="1"/>
    <col min="20" max="20" width="45" customWidth="1"/>
  </cols>
  <sheetData>
    <row r="1" spans="1:20" ht="27.95" customHeight="1" x14ac:dyDescent="0.3">
      <c r="A1" s="56" t="s">
        <v>42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8"/>
    </row>
    <row r="2" spans="1:20" ht="27.95" customHeight="1" x14ac:dyDescent="0.3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1"/>
    </row>
    <row r="3" spans="1:20" ht="32.1" customHeight="1" x14ac:dyDescent="0.3">
      <c r="A3" s="69" t="s">
        <v>43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4"/>
    </row>
    <row r="5" spans="1:20" ht="36" customHeight="1" x14ac:dyDescent="0.3">
      <c r="A5" s="30" t="s">
        <v>44</v>
      </c>
      <c r="B5" s="30" t="s">
        <v>45</v>
      </c>
      <c r="C5" s="30" t="s">
        <v>46</v>
      </c>
      <c r="D5" s="30" t="s">
        <v>47</v>
      </c>
      <c r="E5" s="30" t="s">
        <v>48</v>
      </c>
      <c r="F5" s="30" t="s">
        <v>49</v>
      </c>
      <c r="G5" s="30" t="s">
        <v>50</v>
      </c>
      <c r="H5" s="30" t="s">
        <v>51</v>
      </c>
      <c r="I5" s="30" t="s">
        <v>52</v>
      </c>
      <c r="J5" s="30" t="s">
        <v>53</v>
      </c>
      <c r="K5" s="30" t="s">
        <v>54</v>
      </c>
      <c r="L5" s="30" t="s">
        <v>55</v>
      </c>
      <c r="M5" s="30" t="s">
        <v>56</v>
      </c>
      <c r="N5" s="30" t="s">
        <v>57</v>
      </c>
      <c r="O5" s="30" t="s">
        <v>58</v>
      </c>
      <c r="P5" s="30" t="s">
        <v>59</v>
      </c>
      <c r="Q5" s="30" t="s">
        <v>60</v>
      </c>
      <c r="R5" s="30" t="s">
        <v>61</v>
      </c>
      <c r="S5" s="30" t="s">
        <v>62</v>
      </c>
      <c r="T5" s="30" t="s">
        <v>63</v>
      </c>
    </row>
    <row r="6" spans="1:20" ht="54" customHeight="1" x14ac:dyDescent="0.3">
      <c r="A6" s="25">
        <v>1</v>
      </c>
      <c r="B6" s="26" t="s">
        <v>64</v>
      </c>
      <c r="C6" s="26" t="s">
        <v>65</v>
      </c>
      <c r="D6" s="26" t="s">
        <v>66</v>
      </c>
      <c r="E6" s="26" t="s">
        <v>67</v>
      </c>
      <c r="F6" s="26" t="s">
        <v>68</v>
      </c>
      <c r="G6" s="26" t="s">
        <v>69</v>
      </c>
      <c r="H6" s="26" t="s">
        <v>69</v>
      </c>
      <c r="I6" s="26" t="s">
        <v>69</v>
      </c>
      <c r="J6" s="26" t="s">
        <v>70</v>
      </c>
      <c r="K6" s="26" t="s">
        <v>71</v>
      </c>
      <c r="L6" s="25" t="s">
        <v>72</v>
      </c>
      <c r="M6" s="25" t="s">
        <v>73</v>
      </c>
      <c r="N6" s="25" t="s">
        <v>6</v>
      </c>
      <c r="O6" s="26" t="s">
        <v>74</v>
      </c>
      <c r="P6" s="26" t="s">
        <v>75</v>
      </c>
      <c r="Q6" s="26" t="s">
        <v>76</v>
      </c>
      <c r="R6" s="26" t="s">
        <v>77</v>
      </c>
      <c r="S6" s="25" t="s">
        <v>78</v>
      </c>
      <c r="T6" s="26" t="s">
        <v>79</v>
      </c>
    </row>
    <row r="7" spans="1:20" ht="54" customHeight="1" x14ac:dyDescent="0.3">
      <c r="A7" s="25">
        <v>2</v>
      </c>
      <c r="B7" s="26" t="s">
        <v>64</v>
      </c>
      <c r="C7" s="26" t="s">
        <v>80</v>
      </c>
      <c r="D7" s="26" t="s">
        <v>81</v>
      </c>
      <c r="E7" s="26" t="s">
        <v>82</v>
      </c>
      <c r="F7" s="26" t="s">
        <v>68</v>
      </c>
      <c r="G7" s="26" t="s">
        <v>69</v>
      </c>
      <c r="H7" s="26" t="s">
        <v>69</v>
      </c>
      <c r="I7" s="26" t="s">
        <v>69</v>
      </c>
      <c r="J7" s="26" t="s">
        <v>83</v>
      </c>
      <c r="K7" s="26" t="s">
        <v>69</v>
      </c>
      <c r="L7" s="25" t="s">
        <v>72</v>
      </c>
      <c r="M7" s="25" t="s">
        <v>73</v>
      </c>
      <c r="N7" s="25" t="s">
        <v>6</v>
      </c>
      <c r="O7" s="26" t="s">
        <v>84</v>
      </c>
      <c r="P7" s="26" t="s">
        <v>85</v>
      </c>
      <c r="Q7" s="26" t="s">
        <v>76</v>
      </c>
      <c r="R7" s="26" t="s">
        <v>86</v>
      </c>
      <c r="S7" s="25" t="s">
        <v>78</v>
      </c>
      <c r="T7" s="26" t="s">
        <v>87</v>
      </c>
    </row>
    <row r="8" spans="1:20" ht="54" customHeight="1" x14ac:dyDescent="0.3">
      <c r="A8" s="25">
        <v>3</v>
      </c>
      <c r="B8" s="26" t="s">
        <v>88</v>
      </c>
      <c r="C8" s="26" t="s">
        <v>89</v>
      </c>
      <c r="D8" s="26" t="s">
        <v>90</v>
      </c>
      <c r="E8" s="26" t="s">
        <v>91</v>
      </c>
      <c r="F8" s="26" t="s">
        <v>92</v>
      </c>
      <c r="G8" s="26" t="s">
        <v>93</v>
      </c>
      <c r="H8" s="26" t="s">
        <v>69</v>
      </c>
      <c r="I8" s="26" t="s">
        <v>69</v>
      </c>
      <c r="J8" s="26" t="s">
        <v>83</v>
      </c>
      <c r="K8" s="26" t="s">
        <v>69</v>
      </c>
      <c r="L8" s="25" t="s">
        <v>72</v>
      </c>
      <c r="M8" s="25" t="s">
        <v>73</v>
      </c>
      <c r="N8" s="25" t="s">
        <v>6</v>
      </c>
      <c r="O8" s="26" t="s">
        <v>94</v>
      </c>
      <c r="P8" s="26" t="s">
        <v>95</v>
      </c>
      <c r="Q8" s="26" t="s">
        <v>96</v>
      </c>
      <c r="R8" s="26" t="s">
        <v>97</v>
      </c>
      <c r="S8" s="25" t="s">
        <v>78</v>
      </c>
      <c r="T8" s="26" t="s">
        <v>98</v>
      </c>
    </row>
    <row r="9" spans="1:20" ht="54" customHeight="1" x14ac:dyDescent="0.3">
      <c r="A9" s="25">
        <v>4</v>
      </c>
      <c r="B9" s="26" t="s">
        <v>99</v>
      </c>
      <c r="C9" s="26" t="s">
        <v>100</v>
      </c>
      <c r="D9" s="26" t="s">
        <v>101</v>
      </c>
      <c r="E9" s="26" t="s">
        <v>102</v>
      </c>
      <c r="F9" s="26" t="s">
        <v>103</v>
      </c>
      <c r="G9" s="26" t="s">
        <v>104</v>
      </c>
      <c r="H9" s="26" t="s">
        <v>105</v>
      </c>
      <c r="I9" s="26" t="s">
        <v>106</v>
      </c>
      <c r="J9" s="26" t="s">
        <v>83</v>
      </c>
      <c r="K9" s="26" t="s">
        <v>107</v>
      </c>
      <c r="L9" s="25" t="s">
        <v>72</v>
      </c>
      <c r="M9" s="25" t="s">
        <v>108</v>
      </c>
      <c r="N9" s="25" t="s">
        <v>6</v>
      </c>
      <c r="O9" s="26" t="s">
        <v>109</v>
      </c>
      <c r="P9" s="26" t="s">
        <v>110</v>
      </c>
      <c r="Q9" s="26" t="s">
        <v>111</v>
      </c>
      <c r="R9" s="26" t="s">
        <v>112</v>
      </c>
      <c r="S9" s="25" t="s">
        <v>113</v>
      </c>
      <c r="T9" s="26" t="s">
        <v>114</v>
      </c>
    </row>
    <row r="10" spans="1:20" ht="54" customHeight="1" x14ac:dyDescent="0.3">
      <c r="A10" s="25">
        <v>5</v>
      </c>
      <c r="B10" s="26" t="s">
        <v>115</v>
      </c>
      <c r="C10" s="26" t="s">
        <v>116</v>
      </c>
      <c r="D10" s="26" t="s">
        <v>117</v>
      </c>
      <c r="E10" s="26" t="s">
        <v>118</v>
      </c>
      <c r="F10" s="26" t="s">
        <v>119</v>
      </c>
      <c r="G10" s="26" t="s">
        <v>120</v>
      </c>
      <c r="H10" s="26" t="s">
        <v>121</v>
      </c>
      <c r="I10" s="26" t="s">
        <v>122</v>
      </c>
      <c r="J10" s="26" t="s">
        <v>123</v>
      </c>
      <c r="K10" s="26" t="s">
        <v>69</v>
      </c>
      <c r="L10" s="25" t="s">
        <v>72</v>
      </c>
      <c r="M10" s="25" t="s">
        <v>73</v>
      </c>
      <c r="N10" s="25" t="s">
        <v>6</v>
      </c>
      <c r="O10" s="26" t="s">
        <v>124</v>
      </c>
      <c r="P10" s="26" t="s">
        <v>125</v>
      </c>
      <c r="Q10" s="26" t="s">
        <v>126</v>
      </c>
      <c r="R10" s="26" t="s">
        <v>97</v>
      </c>
      <c r="S10" s="25" t="s">
        <v>78</v>
      </c>
      <c r="T10" s="26" t="s">
        <v>127</v>
      </c>
    </row>
    <row r="11" spans="1:20" ht="54" customHeight="1" x14ac:dyDescent="0.3">
      <c r="A11" s="25">
        <v>6</v>
      </c>
      <c r="B11" s="26" t="s">
        <v>128</v>
      </c>
      <c r="C11" s="26" t="s">
        <v>129</v>
      </c>
      <c r="D11" s="26" t="s">
        <v>130</v>
      </c>
      <c r="E11" s="26" t="s">
        <v>780</v>
      </c>
      <c r="F11" s="26" t="s">
        <v>131</v>
      </c>
      <c r="G11" s="26" t="s">
        <v>132</v>
      </c>
      <c r="H11" s="26" t="s">
        <v>133</v>
      </c>
      <c r="I11" s="26" t="s">
        <v>134</v>
      </c>
      <c r="J11" s="26" t="s">
        <v>135</v>
      </c>
      <c r="K11" s="26" t="s">
        <v>136</v>
      </c>
      <c r="L11" s="25" t="s">
        <v>137</v>
      </c>
      <c r="M11" s="25" t="s">
        <v>73</v>
      </c>
      <c r="N11" s="25" t="s">
        <v>6</v>
      </c>
      <c r="O11" s="26" t="s">
        <v>138</v>
      </c>
      <c r="P11" s="26" t="s">
        <v>139</v>
      </c>
      <c r="Q11" s="26" t="s">
        <v>140</v>
      </c>
      <c r="R11" s="26" t="s">
        <v>97</v>
      </c>
      <c r="S11" s="25" t="s">
        <v>141</v>
      </c>
      <c r="T11" s="26" t="s">
        <v>142</v>
      </c>
    </row>
    <row r="12" spans="1:20" ht="54" customHeight="1" x14ac:dyDescent="0.3">
      <c r="A12" s="25">
        <v>7</v>
      </c>
      <c r="B12" s="26" t="s">
        <v>777</v>
      </c>
      <c r="C12" s="26" t="s">
        <v>778</v>
      </c>
      <c r="D12" s="26" t="s">
        <v>779</v>
      </c>
      <c r="E12" s="26"/>
      <c r="F12" s="26"/>
      <c r="G12" s="26"/>
      <c r="H12" s="26"/>
      <c r="I12" s="26"/>
      <c r="J12" s="26"/>
      <c r="K12" s="26"/>
      <c r="L12" s="25"/>
      <c r="M12" s="25"/>
      <c r="N12" s="25"/>
      <c r="O12" s="26"/>
      <c r="P12" s="26"/>
      <c r="Q12" s="26"/>
      <c r="R12" s="26"/>
      <c r="S12" s="25"/>
      <c r="T12" s="26"/>
    </row>
    <row r="13" spans="1:20" ht="54" customHeight="1" x14ac:dyDescent="0.3">
      <c r="A13" s="25">
        <v>8</v>
      </c>
      <c r="B13" s="26" t="s">
        <v>64</v>
      </c>
      <c r="C13" s="26" t="s">
        <v>143</v>
      </c>
      <c r="D13" s="26" t="s">
        <v>143</v>
      </c>
      <c r="E13" s="26" t="s">
        <v>144</v>
      </c>
      <c r="F13" s="26" t="s">
        <v>145</v>
      </c>
      <c r="G13" s="26" t="s">
        <v>145</v>
      </c>
      <c r="H13" s="26" t="s">
        <v>146</v>
      </c>
      <c r="I13" s="26" t="s">
        <v>69</v>
      </c>
      <c r="J13" s="26" t="s">
        <v>69</v>
      </c>
      <c r="K13" s="26" t="s">
        <v>69</v>
      </c>
      <c r="L13" s="25" t="s">
        <v>137</v>
      </c>
      <c r="M13" s="25" t="s">
        <v>73</v>
      </c>
      <c r="N13" s="25" t="s">
        <v>6</v>
      </c>
      <c r="O13" s="26" t="s">
        <v>147</v>
      </c>
      <c r="P13" s="26" t="s">
        <v>148</v>
      </c>
      <c r="Q13" s="26" t="s">
        <v>96</v>
      </c>
      <c r="R13" s="26" t="s">
        <v>97</v>
      </c>
      <c r="S13" s="25" t="s">
        <v>78</v>
      </c>
      <c r="T13" s="26" t="s">
        <v>149</v>
      </c>
    </row>
    <row r="14" spans="1:20" ht="54" customHeight="1" x14ac:dyDescent="0.3">
      <c r="A14" s="25">
        <v>9</v>
      </c>
      <c r="B14" s="26" t="s">
        <v>150</v>
      </c>
      <c r="C14" s="26" t="s">
        <v>151</v>
      </c>
      <c r="D14" s="26" t="s">
        <v>151</v>
      </c>
      <c r="E14" s="26" t="s">
        <v>152</v>
      </c>
      <c r="F14" s="26" t="s">
        <v>153</v>
      </c>
      <c r="G14" s="26" t="s">
        <v>154</v>
      </c>
      <c r="H14" s="26" t="s">
        <v>155</v>
      </c>
      <c r="I14" s="26" t="s">
        <v>156</v>
      </c>
      <c r="J14" s="26" t="s">
        <v>157</v>
      </c>
      <c r="K14" s="26" t="s">
        <v>158</v>
      </c>
      <c r="L14" s="25" t="s">
        <v>137</v>
      </c>
      <c r="M14" s="25" t="s">
        <v>73</v>
      </c>
      <c r="N14" s="25" t="s">
        <v>6</v>
      </c>
      <c r="O14" s="26" t="s">
        <v>159</v>
      </c>
      <c r="P14" s="26" t="s">
        <v>160</v>
      </c>
      <c r="Q14" s="26" t="s">
        <v>96</v>
      </c>
      <c r="R14" s="26" t="s">
        <v>161</v>
      </c>
      <c r="S14" s="25" t="s">
        <v>78</v>
      </c>
      <c r="T14" s="26" t="s">
        <v>162</v>
      </c>
    </row>
    <row r="15" spans="1:20" ht="54" customHeight="1" x14ac:dyDescent="0.3">
      <c r="A15" s="25">
        <v>10</v>
      </c>
      <c r="B15" s="26" t="s">
        <v>115</v>
      </c>
      <c r="C15" s="26" t="s">
        <v>163</v>
      </c>
      <c r="D15" s="26" t="s">
        <v>164</v>
      </c>
      <c r="E15" s="26" t="s">
        <v>165</v>
      </c>
      <c r="F15" s="26" t="s">
        <v>119</v>
      </c>
      <c r="G15" s="26" t="s">
        <v>132</v>
      </c>
      <c r="H15" s="26" t="s">
        <v>166</v>
      </c>
      <c r="I15" s="26" t="s">
        <v>106</v>
      </c>
      <c r="J15" s="26" t="s">
        <v>167</v>
      </c>
      <c r="K15" s="26" t="s">
        <v>168</v>
      </c>
      <c r="L15" s="25" t="s">
        <v>72</v>
      </c>
      <c r="M15" s="25" t="s">
        <v>73</v>
      </c>
      <c r="N15" s="25" t="s">
        <v>6</v>
      </c>
      <c r="O15" s="26" t="s">
        <v>169</v>
      </c>
      <c r="P15" s="26" t="s">
        <v>170</v>
      </c>
      <c r="Q15" s="26" t="s">
        <v>171</v>
      </c>
      <c r="R15" s="26" t="s">
        <v>97</v>
      </c>
      <c r="S15" s="25" t="s">
        <v>141</v>
      </c>
      <c r="T15" s="26" t="s">
        <v>172</v>
      </c>
    </row>
    <row r="16" spans="1:20" ht="54" customHeight="1" x14ac:dyDescent="0.3">
      <c r="A16" s="25">
        <v>11</v>
      </c>
      <c r="B16" s="26" t="s">
        <v>115</v>
      </c>
      <c r="C16" s="26" t="s">
        <v>163</v>
      </c>
      <c r="D16" s="26" t="s">
        <v>173</v>
      </c>
      <c r="E16" s="26" t="s">
        <v>174</v>
      </c>
      <c r="F16" s="26" t="s">
        <v>175</v>
      </c>
      <c r="G16" s="26" t="s">
        <v>175</v>
      </c>
      <c r="H16" s="26" t="s">
        <v>146</v>
      </c>
      <c r="I16" s="26" t="s">
        <v>176</v>
      </c>
      <c r="J16" s="26" t="s">
        <v>167</v>
      </c>
      <c r="K16" s="26" t="s">
        <v>177</v>
      </c>
      <c r="L16" s="25" t="s">
        <v>72</v>
      </c>
      <c r="M16" s="25" t="s">
        <v>73</v>
      </c>
      <c r="N16" s="25" t="s">
        <v>6</v>
      </c>
      <c r="O16" s="26" t="s">
        <v>178</v>
      </c>
      <c r="P16" s="26" t="s">
        <v>179</v>
      </c>
      <c r="Q16" s="26" t="s">
        <v>180</v>
      </c>
      <c r="R16" s="26" t="s">
        <v>97</v>
      </c>
      <c r="S16" s="25" t="s">
        <v>78</v>
      </c>
      <c r="T16" s="26" t="s">
        <v>181</v>
      </c>
    </row>
    <row r="17" spans="1:20" ht="54" customHeight="1" x14ac:dyDescent="0.3">
      <c r="A17" s="25">
        <v>12</v>
      </c>
      <c r="B17" s="26" t="s">
        <v>150</v>
      </c>
      <c r="C17" s="26" t="s">
        <v>182</v>
      </c>
      <c r="D17" s="26" t="s">
        <v>183</v>
      </c>
      <c r="E17" s="26" t="s">
        <v>184</v>
      </c>
      <c r="F17" s="26" t="s">
        <v>131</v>
      </c>
      <c r="G17" s="26" t="s">
        <v>132</v>
      </c>
      <c r="H17" s="26" t="s">
        <v>185</v>
      </c>
      <c r="I17" s="26" t="s">
        <v>134</v>
      </c>
      <c r="J17" s="26" t="s">
        <v>186</v>
      </c>
      <c r="K17" s="26" t="s">
        <v>136</v>
      </c>
      <c r="L17" s="25" t="s">
        <v>163</v>
      </c>
      <c r="M17" s="25" t="s">
        <v>108</v>
      </c>
      <c r="N17" s="25" t="s">
        <v>6</v>
      </c>
      <c r="O17" s="26" t="s">
        <v>187</v>
      </c>
      <c r="P17" s="26" t="s">
        <v>188</v>
      </c>
      <c r="Q17" s="26" t="s">
        <v>189</v>
      </c>
      <c r="R17" s="26" t="s">
        <v>190</v>
      </c>
      <c r="S17" s="25" t="s">
        <v>113</v>
      </c>
      <c r="T17" s="26" t="s">
        <v>191</v>
      </c>
    </row>
    <row r="18" spans="1:20" ht="54" customHeight="1" x14ac:dyDescent="0.3">
      <c r="A18" s="25">
        <v>13</v>
      </c>
      <c r="B18" s="26" t="s">
        <v>115</v>
      </c>
      <c r="C18" s="26" t="s">
        <v>192</v>
      </c>
      <c r="D18" s="26" t="s">
        <v>193</v>
      </c>
      <c r="E18" s="26" t="s">
        <v>194</v>
      </c>
      <c r="F18" s="26" t="s">
        <v>195</v>
      </c>
      <c r="G18" s="26" t="s">
        <v>132</v>
      </c>
      <c r="H18" s="26" t="s">
        <v>196</v>
      </c>
      <c r="I18" s="26" t="s">
        <v>69</v>
      </c>
      <c r="J18" s="26" t="s">
        <v>197</v>
      </c>
      <c r="K18" s="26" t="s">
        <v>156</v>
      </c>
      <c r="L18" s="25" t="s">
        <v>72</v>
      </c>
      <c r="M18" s="25" t="s">
        <v>73</v>
      </c>
      <c r="N18" s="25" t="s">
        <v>6</v>
      </c>
      <c r="O18" s="26" t="s">
        <v>198</v>
      </c>
      <c r="P18" s="26" t="s">
        <v>199</v>
      </c>
      <c r="Q18" s="26" t="s">
        <v>200</v>
      </c>
      <c r="R18" s="26" t="s">
        <v>97</v>
      </c>
      <c r="S18" s="25" t="s">
        <v>78</v>
      </c>
      <c r="T18" s="26" t="s">
        <v>201</v>
      </c>
    </row>
    <row r="19" spans="1:20" ht="54" customHeight="1" x14ac:dyDescent="0.3">
      <c r="A19" s="25">
        <v>14</v>
      </c>
      <c r="B19" s="26" t="s">
        <v>115</v>
      </c>
      <c r="C19" s="26" t="s">
        <v>163</v>
      </c>
      <c r="D19" s="26" t="s">
        <v>202</v>
      </c>
      <c r="E19" s="26" t="s">
        <v>203</v>
      </c>
      <c r="F19" s="26" t="s">
        <v>204</v>
      </c>
      <c r="G19" s="26" t="s">
        <v>204</v>
      </c>
      <c r="H19" s="26" t="s">
        <v>205</v>
      </c>
      <c r="I19" s="26" t="s">
        <v>176</v>
      </c>
      <c r="J19" s="26" t="s">
        <v>167</v>
      </c>
      <c r="K19" s="26" t="s">
        <v>206</v>
      </c>
      <c r="L19" s="25" t="s">
        <v>72</v>
      </c>
      <c r="M19" s="25" t="s">
        <v>73</v>
      </c>
      <c r="N19" s="25" t="s">
        <v>6</v>
      </c>
      <c r="O19" s="26" t="s">
        <v>207</v>
      </c>
      <c r="P19" s="26" t="s">
        <v>208</v>
      </c>
      <c r="Q19" s="26" t="s">
        <v>171</v>
      </c>
      <c r="R19" s="26" t="s">
        <v>97</v>
      </c>
      <c r="S19" s="25" t="s">
        <v>141</v>
      </c>
      <c r="T19" s="26" t="s">
        <v>209</v>
      </c>
    </row>
    <row r="20" spans="1:20" ht="54" customHeight="1" x14ac:dyDescent="0.3">
      <c r="A20" s="25">
        <v>15</v>
      </c>
      <c r="B20" s="26" t="s">
        <v>115</v>
      </c>
      <c r="C20" s="26" t="s">
        <v>192</v>
      </c>
      <c r="D20" s="26" t="s">
        <v>210</v>
      </c>
      <c r="E20" s="26" t="s">
        <v>211</v>
      </c>
      <c r="F20" s="26" t="s">
        <v>195</v>
      </c>
      <c r="G20" s="26" t="s">
        <v>132</v>
      </c>
      <c r="H20" s="26" t="s">
        <v>196</v>
      </c>
      <c r="I20" s="26" t="s">
        <v>69</v>
      </c>
      <c r="J20" s="26" t="s">
        <v>197</v>
      </c>
      <c r="K20" s="26" t="s">
        <v>156</v>
      </c>
      <c r="L20" s="25" t="s">
        <v>137</v>
      </c>
      <c r="M20" s="25" t="s">
        <v>73</v>
      </c>
      <c r="N20" s="25" t="s">
        <v>6</v>
      </c>
      <c r="O20" s="26" t="s">
        <v>212</v>
      </c>
      <c r="P20" s="26" t="s">
        <v>213</v>
      </c>
      <c r="Q20" s="26" t="s">
        <v>214</v>
      </c>
      <c r="R20" s="26" t="s">
        <v>97</v>
      </c>
      <c r="S20" s="25" t="s">
        <v>141</v>
      </c>
      <c r="T20" s="26" t="s">
        <v>215</v>
      </c>
    </row>
    <row r="21" spans="1:20" ht="54" customHeight="1" x14ac:dyDescent="0.3">
      <c r="A21" s="25">
        <v>16</v>
      </c>
      <c r="B21" s="26" t="s">
        <v>115</v>
      </c>
      <c r="C21" s="26" t="s">
        <v>192</v>
      </c>
      <c r="D21" s="26" t="s">
        <v>216</v>
      </c>
      <c r="E21" s="26" t="s">
        <v>217</v>
      </c>
      <c r="F21" s="26" t="s">
        <v>195</v>
      </c>
      <c r="G21" s="26" t="s">
        <v>218</v>
      </c>
      <c r="H21" s="26" t="s">
        <v>219</v>
      </c>
      <c r="I21" s="26" t="s">
        <v>69</v>
      </c>
      <c r="J21" s="26" t="s">
        <v>220</v>
      </c>
      <c r="K21" s="26" t="s">
        <v>156</v>
      </c>
      <c r="L21" s="25" t="s">
        <v>72</v>
      </c>
      <c r="M21" s="25" t="s">
        <v>73</v>
      </c>
      <c r="N21" s="25" t="s">
        <v>6</v>
      </c>
      <c r="O21" s="26" t="s">
        <v>221</v>
      </c>
      <c r="P21" s="26" t="s">
        <v>222</v>
      </c>
      <c r="Q21" s="26" t="s">
        <v>223</v>
      </c>
      <c r="R21" s="26" t="s">
        <v>161</v>
      </c>
      <c r="S21" s="25" t="s">
        <v>78</v>
      </c>
      <c r="T21" s="26" t="s">
        <v>224</v>
      </c>
    </row>
    <row r="22" spans="1:20" ht="54" customHeight="1" x14ac:dyDescent="0.3">
      <c r="A22" s="25">
        <v>17</v>
      </c>
      <c r="B22" s="26" t="s">
        <v>115</v>
      </c>
      <c r="C22" s="26" t="s">
        <v>163</v>
      </c>
      <c r="D22" s="26" t="s">
        <v>225</v>
      </c>
      <c r="E22" s="26" t="s">
        <v>226</v>
      </c>
      <c r="F22" s="26" t="s">
        <v>227</v>
      </c>
      <c r="G22" s="26" t="s">
        <v>120</v>
      </c>
      <c r="H22" s="26" t="s">
        <v>219</v>
      </c>
      <c r="I22" s="26" t="s">
        <v>204</v>
      </c>
      <c r="J22" s="26" t="s">
        <v>167</v>
      </c>
      <c r="K22" s="26" t="s">
        <v>228</v>
      </c>
      <c r="L22" s="25" t="s">
        <v>72</v>
      </c>
      <c r="M22" s="25" t="s">
        <v>73</v>
      </c>
      <c r="N22" s="25" t="s">
        <v>6</v>
      </c>
      <c r="O22" s="26" t="s">
        <v>229</v>
      </c>
      <c r="P22" s="26" t="s">
        <v>230</v>
      </c>
      <c r="Q22" s="26" t="s">
        <v>96</v>
      </c>
      <c r="R22" s="26" t="s">
        <v>97</v>
      </c>
      <c r="S22" s="25" t="s">
        <v>141</v>
      </c>
      <c r="T22" s="26" t="s">
        <v>231</v>
      </c>
    </row>
    <row r="23" spans="1:20" ht="54" customHeight="1" x14ac:dyDescent="0.3">
      <c r="A23" s="25">
        <v>18</v>
      </c>
      <c r="B23" s="26" t="s">
        <v>232</v>
      </c>
      <c r="C23" s="26" t="s">
        <v>233</v>
      </c>
      <c r="D23" s="26" t="s">
        <v>234</v>
      </c>
      <c r="E23" s="26" t="s">
        <v>235</v>
      </c>
      <c r="F23" s="26" t="s">
        <v>131</v>
      </c>
      <c r="G23" s="26" t="s">
        <v>132</v>
      </c>
      <c r="H23" s="26" t="s">
        <v>236</v>
      </c>
      <c r="I23" s="26" t="s">
        <v>237</v>
      </c>
      <c r="J23" s="26" t="s">
        <v>238</v>
      </c>
      <c r="K23" s="26" t="s">
        <v>136</v>
      </c>
      <c r="L23" s="25" t="s">
        <v>72</v>
      </c>
      <c r="M23" s="25" t="s">
        <v>108</v>
      </c>
      <c r="N23" s="25" t="s">
        <v>6</v>
      </c>
      <c r="O23" s="26" t="s">
        <v>239</v>
      </c>
      <c r="P23" s="26" t="s">
        <v>240</v>
      </c>
      <c r="Q23" s="26" t="s">
        <v>241</v>
      </c>
      <c r="R23" s="26" t="s">
        <v>161</v>
      </c>
      <c r="S23" s="25" t="s">
        <v>141</v>
      </c>
      <c r="T23" s="26" t="s">
        <v>242</v>
      </c>
    </row>
    <row r="24" spans="1:20" ht="54" customHeight="1" x14ac:dyDescent="0.3">
      <c r="A24" s="25">
        <v>19</v>
      </c>
      <c r="B24" s="26" t="s">
        <v>115</v>
      </c>
      <c r="C24" s="26" t="s">
        <v>243</v>
      </c>
      <c r="D24" s="26" t="s">
        <v>244</v>
      </c>
      <c r="E24" s="26" t="s">
        <v>245</v>
      </c>
      <c r="F24" s="26" t="s">
        <v>195</v>
      </c>
      <c r="G24" s="26" t="s">
        <v>246</v>
      </c>
      <c r="H24" s="26" t="s">
        <v>247</v>
      </c>
      <c r="I24" s="26" t="s">
        <v>176</v>
      </c>
      <c r="J24" s="26" t="s">
        <v>248</v>
      </c>
      <c r="K24" s="26" t="s">
        <v>249</v>
      </c>
      <c r="L24" s="25" t="s">
        <v>137</v>
      </c>
      <c r="M24" s="25" t="s">
        <v>73</v>
      </c>
      <c r="N24" s="25" t="s">
        <v>6</v>
      </c>
      <c r="O24" s="26" t="s">
        <v>250</v>
      </c>
      <c r="P24" s="26" t="s">
        <v>251</v>
      </c>
      <c r="Q24" s="26" t="s">
        <v>241</v>
      </c>
      <c r="R24" s="26" t="s">
        <v>161</v>
      </c>
      <c r="S24" s="25" t="s">
        <v>78</v>
      </c>
      <c r="T24" s="26" t="s">
        <v>252</v>
      </c>
    </row>
    <row r="25" spans="1:20" ht="54" customHeight="1" x14ac:dyDescent="0.3">
      <c r="A25" s="25">
        <v>20</v>
      </c>
      <c r="B25" s="26" t="s">
        <v>128</v>
      </c>
      <c r="C25" s="26" t="s">
        <v>243</v>
      </c>
      <c r="D25" s="26" t="s">
        <v>253</v>
      </c>
      <c r="E25" s="26" t="s">
        <v>254</v>
      </c>
      <c r="F25" s="26" t="s">
        <v>195</v>
      </c>
      <c r="G25" s="26" t="s">
        <v>132</v>
      </c>
      <c r="H25" s="26" t="s">
        <v>106</v>
      </c>
      <c r="I25" s="26" t="s">
        <v>176</v>
      </c>
      <c r="J25" s="26" t="s">
        <v>248</v>
      </c>
      <c r="K25" s="26" t="s">
        <v>168</v>
      </c>
      <c r="L25" s="25" t="s">
        <v>137</v>
      </c>
      <c r="M25" s="25" t="s">
        <v>73</v>
      </c>
      <c r="N25" s="25" t="s">
        <v>6</v>
      </c>
      <c r="O25" s="26" t="s">
        <v>255</v>
      </c>
      <c r="P25" s="26" t="s">
        <v>256</v>
      </c>
      <c r="Q25" s="26" t="s">
        <v>241</v>
      </c>
      <c r="R25" s="26" t="s">
        <v>161</v>
      </c>
      <c r="S25" s="25" t="s">
        <v>78</v>
      </c>
      <c r="T25" s="26" t="s">
        <v>257</v>
      </c>
    </row>
    <row r="26" spans="1:20" ht="54" customHeight="1" x14ac:dyDescent="0.3">
      <c r="A26" s="25">
        <v>21</v>
      </c>
      <c r="B26" s="26" t="s">
        <v>128</v>
      </c>
      <c r="C26" s="26" t="s">
        <v>243</v>
      </c>
      <c r="D26" s="26" t="s">
        <v>258</v>
      </c>
      <c r="E26" s="26" t="s">
        <v>259</v>
      </c>
      <c r="F26" s="26" t="s">
        <v>195</v>
      </c>
      <c r="G26" s="26" t="s">
        <v>260</v>
      </c>
      <c r="H26" s="26" t="s">
        <v>106</v>
      </c>
      <c r="I26" s="26" t="s">
        <v>168</v>
      </c>
      <c r="J26" s="26" t="s">
        <v>248</v>
      </c>
      <c r="K26" s="26" t="s">
        <v>168</v>
      </c>
      <c r="L26" s="25" t="s">
        <v>137</v>
      </c>
      <c r="M26" s="25" t="s">
        <v>73</v>
      </c>
      <c r="N26" s="25" t="s">
        <v>6</v>
      </c>
      <c r="O26" s="26" t="s">
        <v>261</v>
      </c>
      <c r="P26" s="26" t="s">
        <v>262</v>
      </c>
      <c r="Q26" s="26" t="s">
        <v>241</v>
      </c>
      <c r="R26" s="26" t="s">
        <v>263</v>
      </c>
      <c r="S26" s="25" t="s">
        <v>141</v>
      </c>
      <c r="T26" s="26" t="s">
        <v>264</v>
      </c>
    </row>
    <row r="27" spans="1:20" ht="54" customHeight="1" x14ac:dyDescent="0.3">
      <c r="A27" s="25">
        <v>22</v>
      </c>
      <c r="B27" s="26" t="s">
        <v>232</v>
      </c>
      <c r="C27" s="26" t="s">
        <v>265</v>
      </c>
      <c r="D27" s="26" t="s">
        <v>266</v>
      </c>
      <c r="E27" s="26" t="s">
        <v>267</v>
      </c>
      <c r="F27" s="26" t="s">
        <v>268</v>
      </c>
      <c r="G27" s="26" t="s">
        <v>132</v>
      </c>
      <c r="H27" s="26" t="s">
        <v>156</v>
      </c>
      <c r="I27" s="26" t="s">
        <v>269</v>
      </c>
      <c r="J27" s="26" t="s">
        <v>186</v>
      </c>
      <c r="K27" s="26" t="s">
        <v>249</v>
      </c>
      <c r="L27" s="25" t="s">
        <v>137</v>
      </c>
      <c r="M27" s="25" t="s">
        <v>73</v>
      </c>
      <c r="N27" s="25" t="s">
        <v>6</v>
      </c>
      <c r="O27" s="26" t="s">
        <v>270</v>
      </c>
      <c r="P27" s="26" t="s">
        <v>271</v>
      </c>
      <c r="Q27" s="26" t="s">
        <v>96</v>
      </c>
      <c r="R27" s="26" t="s">
        <v>161</v>
      </c>
      <c r="S27" s="25" t="s">
        <v>78</v>
      </c>
      <c r="T27" s="26" t="s">
        <v>272</v>
      </c>
    </row>
    <row r="28" spans="1:20" ht="54" customHeight="1" x14ac:dyDescent="0.3">
      <c r="A28" s="25">
        <v>23</v>
      </c>
      <c r="B28" s="26" t="s">
        <v>99</v>
      </c>
      <c r="C28" s="26" t="s">
        <v>273</v>
      </c>
      <c r="D28" s="26" t="s">
        <v>274</v>
      </c>
      <c r="E28" s="26" t="s">
        <v>275</v>
      </c>
      <c r="F28" s="26" t="s">
        <v>276</v>
      </c>
      <c r="G28" s="26" t="s">
        <v>132</v>
      </c>
      <c r="H28" s="26" t="s">
        <v>277</v>
      </c>
      <c r="I28" s="26" t="s">
        <v>69</v>
      </c>
      <c r="J28" s="26" t="s">
        <v>157</v>
      </c>
      <c r="K28" s="26" t="s">
        <v>237</v>
      </c>
      <c r="L28" s="25" t="s">
        <v>72</v>
      </c>
      <c r="M28" s="25" t="s">
        <v>73</v>
      </c>
      <c r="N28" s="25" t="s">
        <v>6</v>
      </c>
      <c r="O28" s="26" t="s">
        <v>278</v>
      </c>
      <c r="P28" s="26" t="s">
        <v>279</v>
      </c>
      <c r="Q28" s="26" t="s">
        <v>76</v>
      </c>
      <c r="R28" s="26" t="s">
        <v>161</v>
      </c>
      <c r="S28" s="25" t="s">
        <v>78</v>
      </c>
      <c r="T28" s="26" t="s">
        <v>280</v>
      </c>
    </row>
    <row r="29" spans="1:20" ht="54" customHeight="1" x14ac:dyDescent="0.3">
      <c r="A29" s="25">
        <v>24</v>
      </c>
      <c r="B29" s="26" t="s">
        <v>128</v>
      </c>
      <c r="C29" s="26" t="s">
        <v>281</v>
      </c>
      <c r="D29" s="26" t="s">
        <v>282</v>
      </c>
      <c r="E29" s="26" t="s">
        <v>283</v>
      </c>
      <c r="F29" s="26" t="s">
        <v>195</v>
      </c>
      <c r="G29" s="26" t="s">
        <v>104</v>
      </c>
      <c r="H29" s="26" t="s">
        <v>284</v>
      </c>
      <c r="I29" s="26" t="s">
        <v>69</v>
      </c>
      <c r="J29" s="26" t="s">
        <v>248</v>
      </c>
      <c r="K29" s="26" t="s">
        <v>285</v>
      </c>
      <c r="L29" s="25" t="s">
        <v>137</v>
      </c>
      <c r="M29" s="25" t="s">
        <v>73</v>
      </c>
      <c r="N29" s="25" t="s">
        <v>6</v>
      </c>
      <c r="O29" s="26" t="s">
        <v>286</v>
      </c>
      <c r="P29" s="26" t="s">
        <v>287</v>
      </c>
      <c r="Q29" s="26" t="s">
        <v>288</v>
      </c>
      <c r="R29" s="26" t="s">
        <v>161</v>
      </c>
      <c r="S29" s="25" t="s">
        <v>78</v>
      </c>
      <c r="T29" s="26" t="s">
        <v>289</v>
      </c>
    </row>
    <row r="30" spans="1:20" ht="54" customHeight="1" x14ac:dyDescent="0.3">
      <c r="A30" s="25">
        <v>25</v>
      </c>
      <c r="B30" s="26" t="s">
        <v>128</v>
      </c>
      <c r="C30" s="26" t="s">
        <v>290</v>
      </c>
      <c r="D30" s="26" t="s">
        <v>291</v>
      </c>
      <c r="E30" s="26" t="s">
        <v>292</v>
      </c>
      <c r="F30" s="26" t="s">
        <v>195</v>
      </c>
      <c r="G30" s="26" t="s">
        <v>293</v>
      </c>
      <c r="H30" s="26" t="s">
        <v>146</v>
      </c>
      <c r="I30" s="26" t="s">
        <v>176</v>
      </c>
      <c r="J30" s="26" t="s">
        <v>294</v>
      </c>
      <c r="K30" s="26" t="s">
        <v>295</v>
      </c>
      <c r="L30" s="25" t="s">
        <v>72</v>
      </c>
      <c r="M30" s="25" t="s">
        <v>73</v>
      </c>
      <c r="N30" s="25" t="s">
        <v>6</v>
      </c>
      <c r="O30" s="26" t="s">
        <v>296</v>
      </c>
      <c r="P30" s="26" t="s">
        <v>297</v>
      </c>
      <c r="Q30" s="26" t="s">
        <v>214</v>
      </c>
      <c r="R30" s="26" t="s">
        <v>161</v>
      </c>
      <c r="S30" s="25" t="s">
        <v>141</v>
      </c>
      <c r="T30" s="26" t="s">
        <v>298</v>
      </c>
    </row>
    <row r="31" spans="1:20" ht="54" customHeight="1" x14ac:dyDescent="0.3">
      <c r="A31" s="25">
        <v>26</v>
      </c>
      <c r="B31" s="26" t="s">
        <v>88</v>
      </c>
      <c r="C31" s="26" t="s">
        <v>299</v>
      </c>
      <c r="D31" s="26" t="s">
        <v>300</v>
      </c>
      <c r="E31" s="26" t="s">
        <v>301</v>
      </c>
      <c r="F31" s="26" t="s">
        <v>302</v>
      </c>
      <c r="G31" s="26" t="s">
        <v>195</v>
      </c>
      <c r="H31" s="26" t="s">
        <v>303</v>
      </c>
      <c r="I31" s="26" t="s">
        <v>106</v>
      </c>
      <c r="J31" s="26" t="s">
        <v>304</v>
      </c>
      <c r="K31" s="26" t="s">
        <v>249</v>
      </c>
      <c r="L31" s="25" t="s">
        <v>137</v>
      </c>
      <c r="M31" s="25" t="s">
        <v>73</v>
      </c>
      <c r="N31" s="25" t="s">
        <v>6</v>
      </c>
      <c r="O31" s="26" t="s">
        <v>305</v>
      </c>
      <c r="P31" s="26" t="s">
        <v>306</v>
      </c>
      <c r="Q31" s="26" t="s">
        <v>241</v>
      </c>
      <c r="R31" s="26" t="s">
        <v>263</v>
      </c>
      <c r="S31" s="25" t="s">
        <v>78</v>
      </c>
      <c r="T31" s="26" t="s">
        <v>307</v>
      </c>
    </row>
    <row r="32" spans="1:20" ht="54" customHeight="1" x14ac:dyDescent="0.3">
      <c r="A32" s="25">
        <v>27</v>
      </c>
      <c r="B32" s="26" t="s">
        <v>88</v>
      </c>
      <c r="C32" s="26" t="s">
        <v>308</v>
      </c>
      <c r="D32" s="26" t="s">
        <v>309</v>
      </c>
      <c r="E32" s="26" t="s">
        <v>310</v>
      </c>
      <c r="F32" s="26" t="s">
        <v>311</v>
      </c>
      <c r="G32" s="26" t="s">
        <v>119</v>
      </c>
      <c r="H32" s="26" t="s">
        <v>146</v>
      </c>
      <c r="I32" s="26" t="s">
        <v>69</v>
      </c>
      <c r="J32" s="26" t="s">
        <v>69</v>
      </c>
      <c r="K32" s="26" t="s">
        <v>69</v>
      </c>
      <c r="L32" s="25" t="s">
        <v>72</v>
      </c>
      <c r="M32" s="25" t="s">
        <v>73</v>
      </c>
      <c r="N32" s="25" t="s">
        <v>6</v>
      </c>
      <c r="O32" s="26" t="s">
        <v>312</v>
      </c>
      <c r="P32" s="26" t="s">
        <v>313</v>
      </c>
      <c r="Q32" s="26" t="s">
        <v>241</v>
      </c>
      <c r="R32" s="26" t="s">
        <v>161</v>
      </c>
      <c r="S32" s="25" t="s">
        <v>78</v>
      </c>
      <c r="T32" s="26" t="s">
        <v>314</v>
      </c>
    </row>
    <row r="33" spans="1:20" ht="54" customHeight="1" x14ac:dyDescent="0.3">
      <c r="A33" s="25">
        <v>28</v>
      </c>
      <c r="B33" s="26" t="s">
        <v>232</v>
      </c>
      <c r="C33" s="26" t="s">
        <v>68</v>
      </c>
      <c r="D33" s="26" t="s">
        <v>315</v>
      </c>
      <c r="E33" s="26" t="s">
        <v>316</v>
      </c>
      <c r="F33" s="26" t="s">
        <v>317</v>
      </c>
      <c r="G33" s="26" t="s">
        <v>93</v>
      </c>
      <c r="H33" s="26" t="s">
        <v>303</v>
      </c>
      <c r="I33" s="26" t="s">
        <v>318</v>
      </c>
      <c r="J33" s="26" t="s">
        <v>248</v>
      </c>
      <c r="K33" s="26" t="s">
        <v>69</v>
      </c>
      <c r="L33" s="25" t="s">
        <v>137</v>
      </c>
      <c r="M33" s="25" t="s">
        <v>73</v>
      </c>
      <c r="N33" s="25" t="s">
        <v>6</v>
      </c>
      <c r="O33" s="26" t="s">
        <v>319</v>
      </c>
      <c r="P33" s="26" t="s">
        <v>320</v>
      </c>
      <c r="Q33" s="26" t="s">
        <v>96</v>
      </c>
      <c r="R33" s="26" t="s">
        <v>161</v>
      </c>
      <c r="S33" s="25" t="s">
        <v>78</v>
      </c>
      <c r="T33" s="26" t="s">
        <v>321</v>
      </c>
    </row>
    <row r="34" spans="1:20" ht="54" customHeight="1" x14ac:dyDescent="0.3">
      <c r="A34" s="25">
        <v>29</v>
      </c>
      <c r="B34" s="26" t="s">
        <v>232</v>
      </c>
      <c r="C34" s="26" t="s">
        <v>68</v>
      </c>
      <c r="D34" s="26" t="s">
        <v>322</v>
      </c>
      <c r="E34" s="26" t="s">
        <v>323</v>
      </c>
      <c r="F34" s="26" t="s">
        <v>195</v>
      </c>
      <c r="G34" s="26" t="s">
        <v>324</v>
      </c>
      <c r="H34" s="26" t="s">
        <v>325</v>
      </c>
      <c r="I34" s="26" t="s">
        <v>204</v>
      </c>
      <c r="J34" s="26" t="s">
        <v>326</v>
      </c>
      <c r="K34" s="26" t="s">
        <v>69</v>
      </c>
      <c r="L34" s="25" t="s">
        <v>137</v>
      </c>
      <c r="M34" s="25" t="s">
        <v>73</v>
      </c>
      <c r="N34" s="25" t="s">
        <v>6</v>
      </c>
      <c r="O34" s="26" t="s">
        <v>327</v>
      </c>
      <c r="P34" s="26" t="s">
        <v>328</v>
      </c>
      <c r="Q34" s="26" t="s">
        <v>241</v>
      </c>
      <c r="R34" s="26" t="s">
        <v>161</v>
      </c>
      <c r="S34" s="25" t="s">
        <v>78</v>
      </c>
      <c r="T34" s="26" t="s">
        <v>329</v>
      </c>
    </row>
    <row r="35" spans="1:20" ht="54" customHeight="1" x14ac:dyDescent="0.3">
      <c r="A35" s="25">
        <v>30</v>
      </c>
      <c r="B35" s="26" t="s">
        <v>99</v>
      </c>
      <c r="C35" s="26" t="s">
        <v>330</v>
      </c>
      <c r="D35" s="26" t="s">
        <v>331</v>
      </c>
      <c r="E35" s="26" t="s">
        <v>332</v>
      </c>
      <c r="F35" s="26" t="s">
        <v>333</v>
      </c>
      <c r="G35" s="26" t="s">
        <v>334</v>
      </c>
      <c r="H35" s="26" t="s">
        <v>335</v>
      </c>
      <c r="I35" s="26" t="s">
        <v>336</v>
      </c>
      <c r="J35" s="26" t="s">
        <v>304</v>
      </c>
      <c r="K35" s="26" t="s">
        <v>337</v>
      </c>
      <c r="L35" s="25" t="s">
        <v>137</v>
      </c>
      <c r="M35" s="25" t="s">
        <v>73</v>
      </c>
      <c r="N35" s="25" t="s">
        <v>6</v>
      </c>
      <c r="O35" s="26" t="s">
        <v>338</v>
      </c>
      <c r="P35" s="26" t="s">
        <v>339</v>
      </c>
      <c r="Q35" s="26" t="s">
        <v>96</v>
      </c>
      <c r="R35" s="26" t="s">
        <v>161</v>
      </c>
      <c r="S35" s="25" t="s">
        <v>78</v>
      </c>
      <c r="T35" s="26" t="s">
        <v>340</v>
      </c>
    </row>
    <row r="36" spans="1:20" ht="54" customHeight="1" x14ac:dyDescent="0.3">
      <c r="A36" s="25">
        <v>31</v>
      </c>
      <c r="B36" s="26" t="s">
        <v>99</v>
      </c>
      <c r="C36" s="26" t="s">
        <v>330</v>
      </c>
      <c r="D36" s="26" t="s">
        <v>341</v>
      </c>
      <c r="E36" s="26" t="s">
        <v>342</v>
      </c>
      <c r="F36" s="26" t="s">
        <v>343</v>
      </c>
      <c r="G36" s="26" t="s">
        <v>93</v>
      </c>
      <c r="H36" s="26" t="s">
        <v>344</v>
      </c>
      <c r="I36" s="26" t="s">
        <v>176</v>
      </c>
      <c r="J36" s="26" t="s">
        <v>304</v>
      </c>
      <c r="K36" s="26" t="s">
        <v>168</v>
      </c>
      <c r="L36" s="25" t="s">
        <v>137</v>
      </c>
      <c r="M36" s="25" t="s">
        <v>73</v>
      </c>
      <c r="N36" s="25" t="s">
        <v>6</v>
      </c>
      <c r="O36" s="26" t="s">
        <v>345</v>
      </c>
      <c r="P36" s="26" t="s">
        <v>346</v>
      </c>
      <c r="Q36" s="26" t="s">
        <v>347</v>
      </c>
      <c r="R36" s="26" t="s">
        <v>161</v>
      </c>
      <c r="S36" s="25" t="s">
        <v>78</v>
      </c>
      <c r="T36" s="26" t="s">
        <v>348</v>
      </c>
    </row>
    <row r="37" spans="1:20" ht="54" customHeight="1" x14ac:dyDescent="0.3">
      <c r="A37" s="25">
        <v>32</v>
      </c>
      <c r="B37" s="26" t="s">
        <v>99</v>
      </c>
      <c r="C37" s="26" t="s">
        <v>349</v>
      </c>
      <c r="D37" s="26" t="s">
        <v>350</v>
      </c>
      <c r="E37" s="26" t="s">
        <v>351</v>
      </c>
      <c r="F37" s="26" t="s">
        <v>352</v>
      </c>
      <c r="G37" s="26" t="s">
        <v>353</v>
      </c>
      <c r="H37" s="26" t="s">
        <v>354</v>
      </c>
      <c r="I37" s="26" t="s">
        <v>249</v>
      </c>
      <c r="J37" s="26" t="s">
        <v>238</v>
      </c>
      <c r="K37" s="26" t="s">
        <v>355</v>
      </c>
      <c r="L37" s="25" t="s">
        <v>137</v>
      </c>
      <c r="M37" s="25" t="s">
        <v>73</v>
      </c>
      <c r="N37" s="25" t="s">
        <v>6</v>
      </c>
      <c r="O37" s="26" t="s">
        <v>356</v>
      </c>
      <c r="P37" s="26" t="s">
        <v>357</v>
      </c>
      <c r="Q37" s="26" t="s">
        <v>76</v>
      </c>
      <c r="R37" s="26" t="s">
        <v>161</v>
      </c>
      <c r="S37" s="25" t="s">
        <v>78</v>
      </c>
      <c r="T37" s="26" t="s">
        <v>358</v>
      </c>
    </row>
    <row r="38" spans="1:20" ht="54" customHeight="1" x14ac:dyDescent="0.3">
      <c r="A38" s="25">
        <v>33</v>
      </c>
      <c r="B38" s="26" t="s">
        <v>232</v>
      </c>
      <c r="C38" s="26" t="s">
        <v>359</v>
      </c>
      <c r="D38" s="26" t="s">
        <v>359</v>
      </c>
      <c r="E38" s="26" t="s">
        <v>360</v>
      </c>
      <c r="F38" s="26" t="s">
        <v>131</v>
      </c>
      <c r="G38" s="26" t="s">
        <v>361</v>
      </c>
      <c r="H38" s="26" t="s">
        <v>362</v>
      </c>
      <c r="I38" s="26" t="s">
        <v>363</v>
      </c>
      <c r="J38" s="26" t="s">
        <v>167</v>
      </c>
      <c r="K38" s="26" t="s">
        <v>168</v>
      </c>
      <c r="L38" s="25" t="s">
        <v>163</v>
      </c>
      <c r="M38" s="25" t="s">
        <v>108</v>
      </c>
      <c r="N38" s="25" t="s">
        <v>6</v>
      </c>
      <c r="O38" s="26" t="s">
        <v>364</v>
      </c>
      <c r="P38" s="26" t="s">
        <v>365</v>
      </c>
      <c r="Q38" s="26" t="s">
        <v>366</v>
      </c>
      <c r="R38" s="26" t="s">
        <v>367</v>
      </c>
      <c r="S38" s="25" t="s">
        <v>78</v>
      </c>
      <c r="T38" s="26" t="s">
        <v>368</v>
      </c>
    </row>
    <row r="39" spans="1:20" ht="54" customHeight="1" x14ac:dyDescent="0.3">
      <c r="A39" s="25">
        <v>34</v>
      </c>
      <c r="B39" s="26" t="s">
        <v>99</v>
      </c>
      <c r="C39" s="26" t="s">
        <v>369</v>
      </c>
      <c r="D39" s="26" t="s">
        <v>369</v>
      </c>
      <c r="E39" s="26" t="s">
        <v>370</v>
      </c>
      <c r="F39" s="26" t="s">
        <v>371</v>
      </c>
      <c r="G39" s="26" t="s">
        <v>104</v>
      </c>
      <c r="H39" s="26" t="s">
        <v>303</v>
      </c>
      <c r="I39" s="26" t="s">
        <v>106</v>
      </c>
      <c r="J39" s="26" t="s">
        <v>372</v>
      </c>
      <c r="K39" s="26" t="s">
        <v>69</v>
      </c>
      <c r="L39" s="25" t="s">
        <v>163</v>
      </c>
      <c r="M39" s="25" t="s">
        <v>73</v>
      </c>
      <c r="N39" s="25" t="s">
        <v>6</v>
      </c>
      <c r="O39" s="26" t="s">
        <v>373</v>
      </c>
      <c r="P39" s="26" t="s">
        <v>374</v>
      </c>
      <c r="Q39" s="26" t="s">
        <v>375</v>
      </c>
      <c r="R39" s="26" t="s">
        <v>263</v>
      </c>
      <c r="S39" s="25" t="s">
        <v>141</v>
      </c>
      <c r="T39" s="26" t="s">
        <v>376</v>
      </c>
    </row>
    <row r="40" spans="1:20" ht="54" customHeight="1" x14ac:dyDescent="0.3">
      <c r="A40" s="25">
        <v>35</v>
      </c>
      <c r="B40" s="26" t="s">
        <v>377</v>
      </c>
      <c r="C40" s="26" t="s">
        <v>378</v>
      </c>
      <c r="D40" s="26" t="s">
        <v>379</v>
      </c>
      <c r="E40" s="26" t="s">
        <v>380</v>
      </c>
      <c r="F40" s="26" t="s">
        <v>381</v>
      </c>
      <c r="G40" s="26" t="s">
        <v>104</v>
      </c>
      <c r="H40" s="26" t="s">
        <v>382</v>
      </c>
      <c r="I40" s="26" t="s">
        <v>168</v>
      </c>
      <c r="J40" s="26" t="s">
        <v>383</v>
      </c>
      <c r="K40" s="26" t="s">
        <v>106</v>
      </c>
      <c r="L40" s="25" t="s">
        <v>137</v>
      </c>
      <c r="M40" s="25" t="s">
        <v>73</v>
      </c>
      <c r="N40" s="25" t="s">
        <v>7</v>
      </c>
      <c r="O40" s="26" t="s">
        <v>384</v>
      </c>
      <c r="P40" s="26" t="s">
        <v>385</v>
      </c>
      <c r="Q40" s="26" t="s">
        <v>386</v>
      </c>
      <c r="R40" s="26" t="s">
        <v>161</v>
      </c>
      <c r="S40" s="25" t="s">
        <v>78</v>
      </c>
      <c r="T40" s="26" t="s">
        <v>387</v>
      </c>
    </row>
    <row r="41" spans="1:20" ht="54" customHeight="1" x14ac:dyDescent="0.3">
      <c r="A41" s="25">
        <v>36</v>
      </c>
      <c r="B41" s="26" t="s">
        <v>377</v>
      </c>
      <c r="C41" s="26" t="s">
        <v>192</v>
      </c>
      <c r="D41" s="26" t="s">
        <v>388</v>
      </c>
      <c r="E41" s="26" t="s">
        <v>389</v>
      </c>
      <c r="F41" s="26" t="s">
        <v>195</v>
      </c>
      <c r="G41" s="26" t="s">
        <v>104</v>
      </c>
      <c r="H41" s="26" t="s">
        <v>390</v>
      </c>
      <c r="I41" s="26" t="s">
        <v>176</v>
      </c>
      <c r="J41" s="26" t="s">
        <v>136</v>
      </c>
      <c r="K41" s="26" t="s">
        <v>391</v>
      </c>
      <c r="L41" s="25" t="s">
        <v>137</v>
      </c>
      <c r="M41" s="25" t="s">
        <v>73</v>
      </c>
      <c r="N41" s="25" t="s">
        <v>7</v>
      </c>
      <c r="O41" s="26" t="s">
        <v>392</v>
      </c>
      <c r="P41" s="26" t="s">
        <v>393</v>
      </c>
      <c r="Q41" s="26" t="s">
        <v>394</v>
      </c>
      <c r="R41" s="26" t="s">
        <v>161</v>
      </c>
      <c r="S41" s="25" t="s">
        <v>78</v>
      </c>
      <c r="T41" s="26" t="s">
        <v>395</v>
      </c>
    </row>
    <row r="42" spans="1:20" ht="54" customHeight="1" x14ac:dyDescent="0.3">
      <c r="A42" s="25">
        <v>37</v>
      </c>
      <c r="B42" s="26" t="s">
        <v>377</v>
      </c>
      <c r="C42" s="26" t="s">
        <v>232</v>
      </c>
      <c r="D42" s="26" t="s">
        <v>396</v>
      </c>
      <c r="E42" s="26" t="s">
        <v>397</v>
      </c>
      <c r="F42" s="26" t="s">
        <v>398</v>
      </c>
      <c r="G42" s="26" t="s">
        <v>93</v>
      </c>
      <c r="H42" s="26" t="s">
        <v>303</v>
      </c>
      <c r="I42" s="26" t="s">
        <v>318</v>
      </c>
      <c r="J42" s="26" t="s">
        <v>248</v>
      </c>
      <c r="K42" s="26" t="s">
        <v>69</v>
      </c>
      <c r="L42" s="25" t="s">
        <v>137</v>
      </c>
      <c r="M42" s="25" t="s">
        <v>108</v>
      </c>
      <c r="N42" s="25" t="s">
        <v>7</v>
      </c>
      <c r="O42" s="26" t="s">
        <v>399</v>
      </c>
      <c r="P42" s="26" t="s">
        <v>400</v>
      </c>
      <c r="Q42" s="26" t="s">
        <v>401</v>
      </c>
      <c r="R42" s="26" t="s">
        <v>263</v>
      </c>
      <c r="S42" s="25" t="s">
        <v>113</v>
      </c>
      <c r="T42" s="26" t="s">
        <v>402</v>
      </c>
    </row>
    <row r="43" spans="1:20" ht="54" customHeight="1" x14ac:dyDescent="0.3">
      <c r="A43" s="25">
        <v>38</v>
      </c>
      <c r="B43" s="26" t="s">
        <v>403</v>
      </c>
      <c r="C43" s="26" t="s">
        <v>404</v>
      </c>
      <c r="D43" s="26" t="s">
        <v>405</v>
      </c>
      <c r="E43" s="26" t="s">
        <v>406</v>
      </c>
      <c r="F43" s="26" t="s">
        <v>195</v>
      </c>
      <c r="G43" s="26" t="s">
        <v>132</v>
      </c>
      <c r="H43" s="26" t="s">
        <v>303</v>
      </c>
      <c r="I43" s="26" t="s">
        <v>407</v>
      </c>
      <c r="J43" s="26" t="s">
        <v>186</v>
      </c>
      <c r="K43" s="26" t="s">
        <v>156</v>
      </c>
      <c r="L43" s="25" t="s">
        <v>137</v>
      </c>
      <c r="M43" s="25" t="s">
        <v>73</v>
      </c>
      <c r="N43" s="25" t="s">
        <v>7</v>
      </c>
      <c r="O43" s="26" t="s">
        <v>408</v>
      </c>
      <c r="P43" s="26" t="s">
        <v>409</v>
      </c>
      <c r="Q43" s="26" t="s">
        <v>241</v>
      </c>
      <c r="R43" s="26" t="s">
        <v>161</v>
      </c>
      <c r="S43" s="25" t="s">
        <v>78</v>
      </c>
      <c r="T43" s="26" t="s">
        <v>410</v>
      </c>
    </row>
    <row r="44" spans="1:20" ht="54" customHeight="1" x14ac:dyDescent="0.3">
      <c r="A44" s="25">
        <v>39</v>
      </c>
      <c r="B44" s="26" t="s">
        <v>403</v>
      </c>
      <c r="C44" s="26" t="s">
        <v>411</v>
      </c>
      <c r="D44" s="26" t="s">
        <v>412</v>
      </c>
      <c r="E44" s="26" t="s">
        <v>413</v>
      </c>
      <c r="F44" s="26" t="s">
        <v>195</v>
      </c>
      <c r="G44" s="26" t="s">
        <v>260</v>
      </c>
      <c r="H44" s="26" t="s">
        <v>106</v>
      </c>
      <c r="I44" s="26" t="s">
        <v>407</v>
      </c>
      <c r="J44" s="26" t="s">
        <v>186</v>
      </c>
      <c r="K44" s="26" t="s">
        <v>168</v>
      </c>
      <c r="L44" s="25" t="s">
        <v>137</v>
      </c>
      <c r="M44" s="25" t="s">
        <v>108</v>
      </c>
      <c r="N44" s="25" t="s">
        <v>7</v>
      </c>
      <c r="O44" s="26" t="s">
        <v>414</v>
      </c>
      <c r="P44" s="26" t="s">
        <v>415</v>
      </c>
      <c r="Q44" s="26" t="s">
        <v>375</v>
      </c>
      <c r="R44" s="26" t="s">
        <v>263</v>
      </c>
      <c r="S44" s="25" t="s">
        <v>141</v>
      </c>
      <c r="T44" s="26" t="s">
        <v>416</v>
      </c>
    </row>
    <row r="45" spans="1:20" ht="54" customHeight="1" x14ac:dyDescent="0.3">
      <c r="A45" s="25">
        <v>40</v>
      </c>
      <c r="B45" s="26" t="s">
        <v>403</v>
      </c>
      <c r="C45" s="26" t="s">
        <v>404</v>
      </c>
      <c r="D45" s="26" t="s">
        <v>417</v>
      </c>
      <c r="E45" s="26" t="s">
        <v>418</v>
      </c>
      <c r="F45" s="26" t="s">
        <v>419</v>
      </c>
      <c r="G45" s="26" t="s">
        <v>195</v>
      </c>
      <c r="H45" s="26" t="s">
        <v>303</v>
      </c>
      <c r="I45" s="26" t="s">
        <v>176</v>
      </c>
      <c r="J45" s="26" t="s">
        <v>248</v>
      </c>
      <c r="K45" s="26" t="s">
        <v>69</v>
      </c>
      <c r="L45" s="25" t="s">
        <v>137</v>
      </c>
      <c r="M45" s="25" t="s">
        <v>108</v>
      </c>
      <c r="N45" s="25" t="s">
        <v>7</v>
      </c>
      <c r="O45" s="26" t="s">
        <v>420</v>
      </c>
      <c r="P45" s="26" t="s">
        <v>421</v>
      </c>
      <c r="Q45" s="26" t="s">
        <v>375</v>
      </c>
      <c r="R45" s="26" t="s">
        <v>263</v>
      </c>
      <c r="S45" s="25" t="s">
        <v>141</v>
      </c>
      <c r="T45" s="26" t="s">
        <v>422</v>
      </c>
    </row>
    <row r="46" spans="1:20" ht="54" customHeight="1" x14ac:dyDescent="0.3">
      <c r="A46" s="25">
        <v>41</v>
      </c>
      <c r="B46" s="26" t="s">
        <v>403</v>
      </c>
      <c r="C46" s="26" t="s">
        <v>423</v>
      </c>
      <c r="D46" s="26" t="s">
        <v>424</v>
      </c>
      <c r="E46" s="26" t="s">
        <v>425</v>
      </c>
      <c r="F46" s="26" t="s">
        <v>381</v>
      </c>
      <c r="G46" s="26" t="s">
        <v>104</v>
      </c>
      <c r="H46" s="26" t="s">
        <v>426</v>
      </c>
      <c r="I46" s="26" t="s">
        <v>426</v>
      </c>
      <c r="J46" s="26" t="s">
        <v>427</v>
      </c>
      <c r="K46" s="26" t="s">
        <v>69</v>
      </c>
      <c r="L46" s="25" t="s">
        <v>72</v>
      </c>
      <c r="M46" s="25" t="s">
        <v>108</v>
      </c>
      <c r="N46" s="25" t="s">
        <v>7</v>
      </c>
      <c r="O46" s="26" t="s">
        <v>428</v>
      </c>
      <c r="P46" s="26" t="s">
        <v>429</v>
      </c>
      <c r="Q46" s="26" t="s">
        <v>375</v>
      </c>
      <c r="R46" s="26" t="s">
        <v>263</v>
      </c>
      <c r="S46" s="25" t="s">
        <v>141</v>
      </c>
      <c r="T46" s="26" t="s">
        <v>430</v>
      </c>
    </row>
    <row r="47" spans="1:20" ht="54" customHeight="1" x14ac:dyDescent="0.3">
      <c r="A47" s="25">
        <v>42</v>
      </c>
      <c r="B47" s="26" t="s">
        <v>377</v>
      </c>
      <c r="C47" s="26" t="s">
        <v>378</v>
      </c>
      <c r="D47" s="26" t="s">
        <v>431</v>
      </c>
      <c r="E47" s="26" t="s">
        <v>432</v>
      </c>
      <c r="F47" s="26" t="s">
        <v>419</v>
      </c>
      <c r="G47" s="26" t="s">
        <v>195</v>
      </c>
      <c r="H47" s="26" t="s">
        <v>303</v>
      </c>
      <c r="I47" s="26" t="s">
        <v>176</v>
      </c>
      <c r="J47" s="26" t="s">
        <v>433</v>
      </c>
      <c r="K47" s="26" t="s">
        <v>69</v>
      </c>
      <c r="L47" s="25" t="s">
        <v>137</v>
      </c>
      <c r="M47" s="25" t="s">
        <v>108</v>
      </c>
      <c r="N47" s="25" t="s">
        <v>7</v>
      </c>
      <c r="O47" s="26" t="s">
        <v>434</v>
      </c>
      <c r="P47" s="26" t="s">
        <v>435</v>
      </c>
      <c r="Q47" s="26" t="s">
        <v>386</v>
      </c>
      <c r="R47" s="26" t="s">
        <v>436</v>
      </c>
      <c r="S47" s="25" t="s">
        <v>141</v>
      </c>
      <c r="T47" s="26" t="s">
        <v>437</v>
      </c>
    </row>
    <row r="48" spans="1:20" ht="54" customHeight="1" x14ac:dyDescent="0.3">
      <c r="A48" s="25">
        <v>43</v>
      </c>
      <c r="B48" s="26" t="s">
        <v>438</v>
      </c>
      <c r="C48" s="26" t="s">
        <v>439</v>
      </c>
      <c r="D48" s="26" t="s">
        <v>440</v>
      </c>
      <c r="E48" s="26" t="s">
        <v>441</v>
      </c>
      <c r="F48" s="26" t="s">
        <v>442</v>
      </c>
      <c r="G48" s="26" t="s">
        <v>195</v>
      </c>
      <c r="H48" s="26" t="s">
        <v>69</v>
      </c>
      <c r="I48" s="26" t="s">
        <v>69</v>
      </c>
      <c r="J48" s="26" t="s">
        <v>69</v>
      </c>
      <c r="K48" s="26" t="s">
        <v>69</v>
      </c>
      <c r="L48" s="25" t="s">
        <v>72</v>
      </c>
      <c r="M48" s="25" t="s">
        <v>443</v>
      </c>
      <c r="N48" s="25" t="s">
        <v>8</v>
      </c>
      <c r="O48" s="26" t="s">
        <v>444</v>
      </c>
      <c r="P48" s="26" t="s">
        <v>445</v>
      </c>
      <c r="Q48" s="26" t="s">
        <v>446</v>
      </c>
      <c r="R48" s="26" t="s">
        <v>447</v>
      </c>
      <c r="S48" s="25" t="s">
        <v>113</v>
      </c>
      <c r="T48" s="26" t="s">
        <v>448</v>
      </c>
    </row>
    <row r="49" spans="1:20" ht="54" customHeight="1" x14ac:dyDescent="0.3">
      <c r="A49" s="25">
        <v>44</v>
      </c>
      <c r="B49" s="26" t="s">
        <v>446</v>
      </c>
      <c r="C49" s="26" t="s">
        <v>288</v>
      </c>
      <c r="D49" s="26" t="s">
        <v>449</v>
      </c>
      <c r="E49" s="26" t="s">
        <v>450</v>
      </c>
      <c r="F49" s="26" t="s">
        <v>451</v>
      </c>
      <c r="G49" s="26" t="s">
        <v>452</v>
      </c>
      <c r="H49" s="26" t="s">
        <v>453</v>
      </c>
      <c r="I49" s="26" t="s">
        <v>167</v>
      </c>
      <c r="J49" s="26" t="s">
        <v>427</v>
      </c>
      <c r="K49" s="26" t="s">
        <v>167</v>
      </c>
      <c r="L49" s="25" t="s">
        <v>137</v>
      </c>
      <c r="M49" s="25" t="s">
        <v>443</v>
      </c>
      <c r="N49" s="25" t="s">
        <v>8</v>
      </c>
      <c r="O49" s="26" t="s">
        <v>454</v>
      </c>
      <c r="P49" s="26" t="s">
        <v>455</v>
      </c>
      <c r="Q49" s="26" t="s">
        <v>288</v>
      </c>
      <c r="R49" s="26" t="s">
        <v>456</v>
      </c>
      <c r="S49" s="25" t="s">
        <v>141</v>
      </c>
      <c r="T49" s="26" t="s">
        <v>457</v>
      </c>
    </row>
    <row r="50" spans="1:20" ht="54" customHeight="1" x14ac:dyDescent="0.3">
      <c r="A50" s="25">
        <v>45</v>
      </c>
      <c r="B50" s="26" t="s">
        <v>446</v>
      </c>
      <c r="C50" s="26" t="s">
        <v>288</v>
      </c>
      <c r="D50" s="26" t="s">
        <v>458</v>
      </c>
      <c r="E50" s="26" t="s">
        <v>459</v>
      </c>
      <c r="F50" s="26" t="s">
        <v>460</v>
      </c>
      <c r="G50" s="26" t="s">
        <v>334</v>
      </c>
      <c r="H50" s="26" t="s">
        <v>461</v>
      </c>
      <c r="I50" s="26" t="s">
        <v>106</v>
      </c>
      <c r="J50" s="26" t="s">
        <v>248</v>
      </c>
      <c r="K50" s="26" t="s">
        <v>167</v>
      </c>
      <c r="L50" s="25" t="s">
        <v>137</v>
      </c>
      <c r="M50" s="25" t="s">
        <v>443</v>
      </c>
      <c r="N50" s="25" t="s">
        <v>8</v>
      </c>
      <c r="O50" s="26" t="s">
        <v>462</v>
      </c>
      <c r="P50" s="26" t="s">
        <v>463</v>
      </c>
      <c r="Q50" s="26" t="s">
        <v>288</v>
      </c>
      <c r="R50" s="26" t="s">
        <v>464</v>
      </c>
      <c r="S50" s="25" t="s">
        <v>141</v>
      </c>
      <c r="T50" s="26" t="s">
        <v>465</v>
      </c>
    </row>
    <row r="51" spans="1:20" ht="54" customHeight="1" x14ac:dyDescent="0.3">
      <c r="A51" s="25">
        <v>46</v>
      </c>
      <c r="B51" s="26" t="s">
        <v>446</v>
      </c>
      <c r="C51" s="26" t="s">
        <v>466</v>
      </c>
      <c r="D51" s="26" t="s">
        <v>467</v>
      </c>
      <c r="E51" s="26" t="s">
        <v>468</v>
      </c>
      <c r="F51" s="26" t="s">
        <v>419</v>
      </c>
      <c r="G51" s="26" t="s">
        <v>104</v>
      </c>
      <c r="H51" s="26" t="s">
        <v>461</v>
      </c>
      <c r="I51" s="26" t="s">
        <v>106</v>
      </c>
      <c r="J51" s="26" t="s">
        <v>469</v>
      </c>
      <c r="K51" s="26" t="s">
        <v>318</v>
      </c>
      <c r="L51" s="25" t="s">
        <v>137</v>
      </c>
      <c r="M51" s="25" t="s">
        <v>443</v>
      </c>
      <c r="N51" s="25" t="s">
        <v>8</v>
      </c>
      <c r="O51" s="26" t="s">
        <v>470</v>
      </c>
      <c r="P51" s="26" t="s">
        <v>471</v>
      </c>
      <c r="Q51" s="26" t="s">
        <v>214</v>
      </c>
      <c r="R51" s="26" t="s">
        <v>456</v>
      </c>
      <c r="S51" s="25" t="s">
        <v>78</v>
      </c>
      <c r="T51" s="26" t="s">
        <v>472</v>
      </c>
    </row>
    <row r="52" spans="1:20" ht="54" customHeight="1" x14ac:dyDescent="0.3">
      <c r="A52" s="25">
        <v>47</v>
      </c>
      <c r="B52" s="26" t="s">
        <v>446</v>
      </c>
      <c r="C52" s="26" t="s">
        <v>466</v>
      </c>
      <c r="D52" s="26" t="s">
        <v>473</v>
      </c>
      <c r="E52" s="26" t="s">
        <v>474</v>
      </c>
      <c r="F52" s="26" t="s">
        <v>419</v>
      </c>
      <c r="G52" s="26" t="s">
        <v>195</v>
      </c>
      <c r="H52" s="26" t="s">
        <v>461</v>
      </c>
      <c r="I52" s="26" t="s">
        <v>176</v>
      </c>
      <c r="J52" s="26" t="s">
        <v>248</v>
      </c>
      <c r="K52" s="26" t="s">
        <v>168</v>
      </c>
      <c r="L52" s="25" t="s">
        <v>137</v>
      </c>
      <c r="M52" s="25" t="s">
        <v>443</v>
      </c>
      <c r="N52" s="25" t="s">
        <v>8</v>
      </c>
      <c r="O52" s="26" t="s">
        <v>470</v>
      </c>
      <c r="P52" s="26" t="s">
        <v>475</v>
      </c>
      <c r="Q52" s="26" t="s">
        <v>214</v>
      </c>
      <c r="R52" s="26" t="s">
        <v>456</v>
      </c>
      <c r="S52" s="25" t="s">
        <v>141</v>
      </c>
      <c r="T52" s="26" t="s">
        <v>476</v>
      </c>
    </row>
    <row r="53" spans="1:20" ht="54" customHeight="1" x14ac:dyDescent="0.3">
      <c r="A53" s="25">
        <v>48</v>
      </c>
      <c r="B53" s="26" t="s">
        <v>446</v>
      </c>
      <c r="C53" s="26" t="s">
        <v>466</v>
      </c>
      <c r="D53" s="26" t="s">
        <v>477</v>
      </c>
      <c r="E53" s="26" t="s">
        <v>478</v>
      </c>
      <c r="F53" s="26" t="s">
        <v>479</v>
      </c>
      <c r="G53" s="26" t="s">
        <v>195</v>
      </c>
      <c r="H53" s="26" t="s">
        <v>461</v>
      </c>
      <c r="I53" s="26" t="s">
        <v>106</v>
      </c>
      <c r="J53" s="26" t="s">
        <v>469</v>
      </c>
      <c r="K53" s="26" t="s">
        <v>168</v>
      </c>
      <c r="L53" s="25" t="s">
        <v>137</v>
      </c>
      <c r="M53" s="25" t="s">
        <v>443</v>
      </c>
      <c r="N53" s="25" t="s">
        <v>8</v>
      </c>
      <c r="O53" s="26" t="s">
        <v>480</v>
      </c>
      <c r="P53" s="26" t="s">
        <v>481</v>
      </c>
      <c r="Q53" s="26" t="s">
        <v>214</v>
      </c>
      <c r="R53" s="26" t="s">
        <v>456</v>
      </c>
      <c r="S53" s="25" t="s">
        <v>78</v>
      </c>
      <c r="T53" s="26" t="s">
        <v>482</v>
      </c>
    </row>
    <row r="54" spans="1:20" ht="54" customHeight="1" x14ac:dyDescent="0.3">
      <c r="A54" s="25">
        <v>49</v>
      </c>
      <c r="B54" s="26" t="s">
        <v>446</v>
      </c>
      <c r="C54" s="26" t="s">
        <v>349</v>
      </c>
      <c r="D54" s="26" t="s">
        <v>483</v>
      </c>
      <c r="E54" s="26" t="s">
        <v>484</v>
      </c>
      <c r="F54" s="26" t="s">
        <v>460</v>
      </c>
      <c r="G54" s="26" t="s">
        <v>334</v>
      </c>
      <c r="H54" s="26" t="s">
        <v>461</v>
      </c>
      <c r="I54" s="26" t="s">
        <v>176</v>
      </c>
      <c r="J54" s="26" t="s">
        <v>248</v>
      </c>
      <c r="K54" s="26" t="s">
        <v>168</v>
      </c>
      <c r="L54" s="25" t="s">
        <v>137</v>
      </c>
      <c r="M54" s="25" t="s">
        <v>443</v>
      </c>
      <c r="N54" s="25" t="s">
        <v>8</v>
      </c>
      <c r="O54" s="26" t="s">
        <v>485</v>
      </c>
      <c r="P54" s="26" t="s">
        <v>486</v>
      </c>
      <c r="Q54" s="26" t="s">
        <v>214</v>
      </c>
      <c r="R54" s="26" t="s">
        <v>487</v>
      </c>
      <c r="S54" s="25" t="s">
        <v>78</v>
      </c>
      <c r="T54" s="26" t="s">
        <v>488</v>
      </c>
    </row>
    <row r="55" spans="1:20" ht="54" customHeight="1" x14ac:dyDescent="0.3">
      <c r="A55" s="25">
        <v>50</v>
      </c>
      <c r="B55" s="26" t="s">
        <v>446</v>
      </c>
      <c r="C55" s="26" t="s">
        <v>489</v>
      </c>
      <c r="D55" s="26" t="s">
        <v>490</v>
      </c>
      <c r="E55" s="26" t="s">
        <v>491</v>
      </c>
      <c r="F55" s="26" t="s">
        <v>492</v>
      </c>
      <c r="G55" s="26" t="s">
        <v>93</v>
      </c>
      <c r="H55" s="26" t="s">
        <v>461</v>
      </c>
      <c r="I55" s="26" t="s">
        <v>176</v>
      </c>
      <c r="J55" s="26" t="s">
        <v>248</v>
      </c>
      <c r="K55" s="26" t="s">
        <v>168</v>
      </c>
      <c r="L55" s="25" t="s">
        <v>137</v>
      </c>
      <c r="M55" s="25" t="s">
        <v>443</v>
      </c>
      <c r="N55" s="25" t="s">
        <v>8</v>
      </c>
      <c r="O55" s="26" t="s">
        <v>493</v>
      </c>
      <c r="P55" s="26" t="s">
        <v>494</v>
      </c>
      <c r="Q55" s="26" t="s">
        <v>214</v>
      </c>
      <c r="R55" s="26" t="s">
        <v>456</v>
      </c>
      <c r="S55" s="25" t="s">
        <v>78</v>
      </c>
      <c r="T55" s="26" t="s">
        <v>495</v>
      </c>
    </row>
    <row r="56" spans="1:20" ht="54" customHeight="1" x14ac:dyDescent="0.3">
      <c r="A56" s="25">
        <v>51</v>
      </c>
      <c r="B56" s="26" t="s">
        <v>446</v>
      </c>
      <c r="C56" s="26" t="s">
        <v>496</v>
      </c>
      <c r="D56" s="26" t="s">
        <v>497</v>
      </c>
      <c r="E56" s="26" t="s">
        <v>498</v>
      </c>
      <c r="F56" s="26" t="s">
        <v>479</v>
      </c>
      <c r="G56" s="26" t="s">
        <v>195</v>
      </c>
      <c r="H56" s="26" t="s">
        <v>461</v>
      </c>
      <c r="I56" s="26" t="s">
        <v>106</v>
      </c>
      <c r="J56" s="26" t="s">
        <v>372</v>
      </c>
      <c r="K56" s="26" t="s">
        <v>69</v>
      </c>
      <c r="L56" s="25" t="s">
        <v>137</v>
      </c>
      <c r="M56" s="25" t="s">
        <v>443</v>
      </c>
      <c r="N56" s="25" t="s">
        <v>8</v>
      </c>
      <c r="O56" s="26" t="s">
        <v>499</v>
      </c>
      <c r="P56" s="26" t="s">
        <v>500</v>
      </c>
      <c r="Q56" s="26" t="s">
        <v>375</v>
      </c>
      <c r="R56" s="26" t="s">
        <v>456</v>
      </c>
      <c r="S56" s="25" t="s">
        <v>78</v>
      </c>
      <c r="T56" s="26" t="s">
        <v>501</v>
      </c>
    </row>
    <row r="57" spans="1:20" ht="54" customHeight="1" x14ac:dyDescent="0.3">
      <c r="A57" s="25">
        <v>52</v>
      </c>
      <c r="B57" s="26" t="s">
        <v>446</v>
      </c>
      <c r="C57" s="26" t="s">
        <v>496</v>
      </c>
      <c r="D57" s="26" t="s">
        <v>502</v>
      </c>
      <c r="E57" s="26" t="s">
        <v>503</v>
      </c>
      <c r="F57" s="26" t="s">
        <v>504</v>
      </c>
      <c r="G57" s="26" t="s">
        <v>195</v>
      </c>
      <c r="H57" s="26" t="s">
        <v>461</v>
      </c>
      <c r="I57" s="26" t="s">
        <v>176</v>
      </c>
      <c r="J57" s="26" t="s">
        <v>248</v>
      </c>
      <c r="K57" s="26" t="s">
        <v>168</v>
      </c>
      <c r="L57" s="25" t="s">
        <v>137</v>
      </c>
      <c r="M57" s="25" t="s">
        <v>443</v>
      </c>
      <c r="N57" s="25" t="s">
        <v>8</v>
      </c>
      <c r="O57" s="26" t="s">
        <v>505</v>
      </c>
      <c r="P57" s="26" t="s">
        <v>506</v>
      </c>
      <c r="Q57" s="26" t="s">
        <v>171</v>
      </c>
      <c r="R57" s="26" t="s">
        <v>456</v>
      </c>
      <c r="S57" s="25" t="s">
        <v>78</v>
      </c>
      <c r="T57" s="26" t="s">
        <v>507</v>
      </c>
    </row>
    <row r="58" spans="1:20" ht="54" customHeight="1" x14ac:dyDescent="0.3">
      <c r="A58" s="25">
        <v>53</v>
      </c>
      <c r="B58" s="26" t="s">
        <v>446</v>
      </c>
      <c r="C58" s="26" t="s">
        <v>496</v>
      </c>
      <c r="D58" s="26" t="s">
        <v>508</v>
      </c>
      <c r="E58" s="26" t="s">
        <v>509</v>
      </c>
      <c r="F58" s="26" t="s">
        <v>510</v>
      </c>
      <c r="G58" s="26" t="s">
        <v>195</v>
      </c>
      <c r="H58" s="26" t="s">
        <v>461</v>
      </c>
      <c r="I58" s="26" t="s">
        <v>176</v>
      </c>
      <c r="J58" s="26" t="s">
        <v>469</v>
      </c>
      <c r="K58" s="26" t="s">
        <v>168</v>
      </c>
      <c r="L58" s="25" t="s">
        <v>137</v>
      </c>
      <c r="M58" s="25" t="s">
        <v>443</v>
      </c>
      <c r="N58" s="25" t="s">
        <v>8</v>
      </c>
      <c r="O58" s="26" t="s">
        <v>499</v>
      </c>
      <c r="P58" s="26" t="s">
        <v>511</v>
      </c>
      <c r="Q58" s="26" t="s">
        <v>375</v>
      </c>
      <c r="R58" s="26" t="s">
        <v>456</v>
      </c>
      <c r="S58" s="25" t="s">
        <v>78</v>
      </c>
      <c r="T58" s="26" t="s">
        <v>512</v>
      </c>
    </row>
    <row r="59" spans="1:20" ht="54" customHeight="1" x14ac:dyDescent="0.3">
      <c r="A59" s="25">
        <v>54</v>
      </c>
      <c r="B59" s="26" t="s">
        <v>446</v>
      </c>
      <c r="C59" s="26" t="s">
        <v>496</v>
      </c>
      <c r="D59" s="26" t="s">
        <v>513</v>
      </c>
      <c r="E59" s="26" t="s">
        <v>514</v>
      </c>
      <c r="F59" s="26" t="s">
        <v>515</v>
      </c>
      <c r="G59" s="26" t="s">
        <v>334</v>
      </c>
      <c r="H59" s="26" t="s">
        <v>461</v>
      </c>
      <c r="I59" s="26" t="s">
        <v>176</v>
      </c>
      <c r="J59" s="26" t="s">
        <v>469</v>
      </c>
      <c r="K59" s="26" t="s">
        <v>168</v>
      </c>
      <c r="L59" s="25" t="s">
        <v>137</v>
      </c>
      <c r="M59" s="25" t="s">
        <v>443</v>
      </c>
      <c r="N59" s="25" t="s">
        <v>8</v>
      </c>
      <c r="O59" s="26" t="s">
        <v>505</v>
      </c>
      <c r="P59" s="26" t="s">
        <v>516</v>
      </c>
      <c r="Q59" s="26" t="s">
        <v>171</v>
      </c>
      <c r="R59" s="26" t="s">
        <v>456</v>
      </c>
      <c r="S59" s="25" t="s">
        <v>78</v>
      </c>
      <c r="T59" s="26" t="s">
        <v>517</v>
      </c>
    </row>
    <row r="60" spans="1:20" ht="54" customHeight="1" x14ac:dyDescent="0.3">
      <c r="A60" s="25">
        <v>55</v>
      </c>
      <c r="B60" s="26" t="s">
        <v>446</v>
      </c>
      <c r="C60" s="26" t="s">
        <v>401</v>
      </c>
      <c r="D60" s="26" t="s">
        <v>518</v>
      </c>
      <c r="E60" s="26" t="s">
        <v>519</v>
      </c>
      <c r="F60" s="26" t="s">
        <v>520</v>
      </c>
      <c r="G60" s="26" t="s">
        <v>93</v>
      </c>
      <c r="H60" s="26" t="s">
        <v>461</v>
      </c>
      <c r="I60" s="26" t="s">
        <v>176</v>
      </c>
      <c r="J60" s="26" t="s">
        <v>248</v>
      </c>
      <c r="K60" s="26" t="s">
        <v>168</v>
      </c>
      <c r="L60" s="25" t="s">
        <v>137</v>
      </c>
      <c r="M60" s="25" t="s">
        <v>443</v>
      </c>
      <c r="N60" s="25" t="s">
        <v>8</v>
      </c>
      <c r="O60" s="26" t="s">
        <v>521</v>
      </c>
      <c r="P60" s="26" t="s">
        <v>522</v>
      </c>
      <c r="Q60" s="26" t="s">
        <v>401</v>
      </c>
      <c r="R60" s="26" t="s">
        <v>456</v>
      </c>
      <c r="S60" s="25" t="s">
        <v>141</v>
      </c>
      <c r="T60" s="26" t="s">
        <v>523</v>
      </c>
    </row>
    <row r="61" spans="1:20" x14ac:dyDescent="0.3">
      <c r="A61" s="25">
        <v>56</v>
      </c>
      <c r="B61" s="26" t="s">
        <v>446</v>
      </c>
      <c r="C61" s="26" t="s">
        <v>524</v>
      </c>
      <c r="D61" s="26" t="s">
        <v>525</v>
      </c>
      <c r="E61" s="26" t="s">
        <v>526</v>
      </c>
      <c r="F61" s="26" t="s">
        <v>527</v>
      </c>
      <c r="G61" s="26" t="s">
        <v>104</v>
      </c>
      <c r="H61" s="26" t="s">
        <v>528</v>
      </c>
      <c r="I61" s="26" t="s">
        <v>167</v>
      </c>
      <c r="J61" s="26" t="s">
        <v>529</v>
      </c>
      <c r="K61" s="26" t="s">
        <v>530</v>
      </c>
      <c r="L61" s="25" t="s">
        <v>137</v>
      </c>
      <c r="M61" s="25" t="s">
        <v>443</v>
      </c>
      <c r="N61" s="25" t="s">
        <v>8</v>
      </c>
      <c r="O61" s="26" t="s">
        <v>531</v>
      </c>
      <c r="P61" s="26" t="s">
        <v>532</v>
      </c>
      <c r="Q61" s="26" t="s">
        <v>533</v>
      </c>
      <c r="R61" s="26" t="s">
        <v>456</v>
      </c>
      <c r="S61" s="25" t="s">
        <v>141</v>
      </c>
      <c r="T61" s="26" t="s">
        <v>534</v>
      </c>
    </row>
  </sheetData>
  <mergeCells count="2">
    <mergeCell ref="A1:T2"/>
    <mergeCell ref="A3:T3"/>
  </mergeCells>
  <phoneticPr fontId="10" type="noConversion"/>
  <conditionalFormatting sqref="N6:N61">
    <cfRule type="containsText" dxfId="34" priority="1" operator="containsText" text="전 프로젝트 공용"/>
    <cfRule type="containsText" dxfId="33" priority="2" operator="containsText" text="AI 서비스 공용"/>
    <cfRule type="containsText" dxfId="32" priority="3" operator="containsText" text="AI-ONE 전용"/>
    <cfRule type="containsText" dxfId="31" priority="6" operator="containsText" text="전 프로젝트 공용"/>
    <cfRule type="containsText" dxfId="30" priority="7" operator="containsText" text="AI 서비스 공용"/>
    <cfRule type="containsText" dxfId="29" priority="8" operator="containsText" text="AI-ONE 전용"/>
    <cfRule type="containsText" dxfId="28" priority="11" operator="containsText" text="전 프로젝트 공용"/>
    <cfRule type="containsText" dxfId="27" priority="12" operator="containsText" text="AI 서비스 공용"/>
    <cfRule type="containsText" dxfId="26" priority="13" operator="containsText" text="AI-ONE 전용"/>
  </conditionalFormatting>
  <conditionalFormatting sqref="S6:S61">
    <cfRule type="containsText" dxfId="25" priority="4" operator="containsText" text="P0"/>
    <cfRule type="containsText" dxfId="24" priority="5" operator="containsText" text="P1"/>
    <cfRule type="containsText" dxfId="23" priority="9" operator="containsText" text="P0"/>
    <cfRule type="containsText" dxfId="22" priority="10" operator="containsText" text="P1"/>
    <cfRule type="containsText" dxfId="21" priority="14" operator="containsText" text="P0"/>
    <cfRule type="containsText" dxfId="20" priority="15" operator="containsText" text="P1"/>
  </conditionalFormatting>
  <dataValidations count="3">
    <dataValidation type="list" sqref="M6:M61" xr:uid="{00000000-0002-0000-0100-000000000000}">
      <formula1>"완료,부분,후보,전용 유지"</formula1>
    </dataValidation>
    <dataValidation type="list" sqref="N6:N61" xr:uid="{00000000-0002-0000-0100-000001000000}">
      <formula1>"전 프로젝트 공용,AI 서비스 공용,AI-ONE 전용"</formula1>
    </dataValidation>
    <dataValidation type="list" sqref="S6:S61" xr:uid="{00000000-0002-0000-0100-000002000000}">
      <formula1>"P0,P1,P2,P3"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showGridLines="0" workbookViewId="0">
      <selection activeCell="G6" sqref="G6"/>
    </sheetView>
  </sheetViews>
  <sheetFormatPr defaultRowHeight="16.5" x14ac:dyDescent="0.3"/>
  <cols>
    <col min="1" max="1" width="6" customWidth="1"/>
    <col min="2" max="2" width="18" customWidth="1"/>
    <col min="3" max="3" width="24" customWidth="1"/>
    <col min="4" max="4" width="18" customWidth="1"/>
    <col min="5" max="5" width="34" customWidth="1"/>
    <col min="6" max="6" width="15" customWidth="1"/>
    <col min="7" max="7" width="44" customWidth="1"/>
    <col min="8" max="8" width="10" customWidth="1"/>
    <col min="9" max="10" width="44" customWidth="1"/>
    <col min="11" max="12" width="12" customWidth="1"/>
  </cols>
  <sheetData>
    <row r="1" spans="1:12" ht="27.95" customHeight="1" x14ac:dyDescent="0.3">
      <c r="A1" s="56" t="s">
        <v>535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8"/>
    </row>
    <row r="2" spans="1:12" ht="27.95" customHeight="1" x14ac:dyDescent="0.3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1"/>
    </row>
    <row r="3" spans="1:12" ht="32.1" customHeight="1" x14ac:dyDescent="0.3">
      <c r="A3" s="69" t="s">
        <v>536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4"/>
    </row>
    <row r="5" spans="1:12" ht="36" customHeight="1" x14ac:dyDescent="0.3">
      <c r="A5" s="30" t="s">
        <v>44</v>
      </c>
      <c r="B5" s="30" t="s">
        <v>537</v>
      </c>
      <c r="C5" s="30" t="s">
        <v>538</v>
      </c>
      <c r="D5" s="30" t="s">
        <v>539</v>
      </c>
      <c r="E5" s="30" t="s">
        <v>540</v>
      </c>
      <c r="F5" s="30" t="s">
        <v>541</v>
      </c>
      <c r="G5" s="30" t="s">
        <v>542</v>
      </c>
      <c r="H5" s="30" t="s">
        <v>543</v>
      </c>
      <c r="I5" s="30" t="s">
        <v>544</v>
      </c>
      <c r="J5" s="30" t="s">
        <v>545</v>
      </c>
      <c r="K5" s="30" t="s">
        <v>546</v>
      </c>
      <c r="L5" s="30" t="s">
        <v>547</v>
      </c>
    </row>
    <row r="6" spans="1:12" ht="57.95" customHeight="1" x14ac:dyDescent="0.3">
      <c r="A6" s="22">
        <v>1</v>
      </c>
      <c r="B6" s="1" t="s">
        <v>548</v>
      </c>
      <c r="C6" s="1" t="s">
        <v>549</v>
      </c>
      <c r="D6" s="1" t="s">
        <v>550</v>
      </c>
      <c r="E6" s="1" t="s">
        <v>551</v>
      </c>
      <c r="F6" s="13" t="s">
        <v>552</v>
      </c>
      <c r="G6" s="1" t="s">
        <v>553</v>
      </c>
      <c r="H6" s="13" t="s">
        <v>554</v>
      </c>
      <c r="I6" s="1" t="s">
        <v>555</v>
      </c>
      <c r="J6" s="1" t="s">
        <v>556</v>
      </c>
      <c r="K6" s="13" t="s">
        <v>557</v>
      </c>
      <c r="L6" s="15">
        <v>1</v>
      </c>
    </row>
    <row r="7" spans="1:12" ht="57.95" customHeight="1" x14ac:dyDescent="0.3">
      <c r="A7" s="23">
        <v>2</v>
      </c>
      <c r="B7" s="3" t="s">
        <v>558</v>
      </c>
      <c r="C7" s="3" t="s">
        <v>559</v>
      </c>
      <c r="D7" s="3" t="s">
        <v>550</v>
      </c>
      <c r="E7" s="3" t="s">
        <v>560</v>
      </c>
      <c r="F7" s="16" t="s">
        <v>561</v>
      </c>
      <c r="G7" s="3" t="s">
        <v>562</v>
      </c>
      <c r="H7" s="16" t="s">
        <v>563</v>
      </c>
      <c r="I7" s="3" t="s">
        <v>564</v>
      </c>
      <c r="J7" s="3" t="s">
        <v>565</v>
      </c>
      <c r="K7" s="16" t="s">
        <v>557</v>
      </c>
      <c r="L7" s="18">
        <v>2</v>
      </c>
    </row>
    <row r="8" spans="1:12" ht="57.95" customHeight="1" x14ac:dyDescent="0.3">
      <c r="A8" s="23">
        <v>3</v>
      </c>
      <c r="B8" s="3" t="s">
        <v>566</v>
      </c>
      <c r="C8" s="3" t="s">
        <v>559</v>
      </c>
      <c r="D8" s="3" t="s">
        <v>550</v>
      </c>
      <c r="E8" s="3" t="s">
        <v>560</v>
      </c>
      <c r="F8" s="16" t="s">
        <v>552</v>
      </c>
      <c r="G8" s="3" t="s">
        <v>567</v>
      </c>
      <c r="H8" s="16" t="s">
        <v>568</v>
      </c>
      <c r="I8" s="3" t="s">
        <v>569</v>
      </c>
      <c r="J8" s="3" t="s">
        <v>570</v>
      </c>
      <c r="K8" s="16" t="s">
        <v>557</v>
      </c>
      <c r="L8" s="18">
        <v>2</v>
      </c>
    </row>
    <row r="9" spans="1:12" ht="57.95" customHeight="1" x14ac:dyDescent="0.3">
      <c r="A9" s="23">
        <v>4</v>
      </c>
      <c r="B9" s="3" t="s">
        <v>571</v>
      </c>
      <c r="C9" s="3" t="s">
        <v>559</v>
      </c>
      <c r="D9" s="3" t="s">
        <v>550</v>
      </c>
      <c r="E9" s="3" t="s">
        <v>572</v>
      </c>
      <c r="F9" s="16" t="s">
        <v>573</v>
      </c>
      <c r="G9" s="3" t="s">
        <v>574</v>
      </c>
      <c r="H9" s="16" t="s">
        <v>554</v>
      </c>
      <c r="I9" s="3" t="s">
        <v>575</v>
      </c>
      <c r="J9" s="3" t="s">
        <v>576</v>
      </c>
      <c r="K9" s="16" t="s">
        <v>557</v>
      </c>
      <c r="L9" s="18">
        <v>2</v>
      </c>
    </row>
    <row r="10" spans="1:12" ht="57.95" customHeight="1" x14ac:dyDescent="0.3">
      <c r="A10" s="23">
        <v>5</v>
      </c>
      <c r="B10" s="3" t="s">
        <v>577</v>
      </c>
      <c r="C10" s="3" t="s">
        <v>578</v>
      </c>
      <c r="D10" s="3" t="s">
        <v>550</v>
      </c>
      <c r="E10" s="3" t="s">
        <v>579</v>
      </c>
      <c r="F10" s="16" t="s">
        <v>580</v>
      </c>
      <c r="G10" s="3" t="s">
        <v>581</v>
      </c>
      <c r="H10" s="16" t="s">
        <v>554</v>
      </c>
      <c r="I10" s="3" t="s">
        <v>582</v>
      </c>
      <c r="J10" s="3" t="s">
        <v>583</v>
      </c>
      <c r="K10" s="16" t="s">
        <v>584</v>
      </c>
      <c r="L10" s="18">
        <v>3</v>
      </c>
    </row>
    <row r="11" spans="1:12" ht="57.95" customHeight="1" x14ac:dyDescent="0.3">
      <c r="A11" s="23">
        <v>6</v>
      </c>
      <c r="B11" s="3" t="s">
        <v>585</v>
      </c>
      <c r="C11" s="3" t="s">
        <v>559</v>
      </c>
      <c r="D11" s="3" t="s">
        <v>550</v>
      </c>
      <c r="E11" s="3" t="s">
        <v>586</v>
      </c>
      <c r="F11" s="16" t="s">
        <v>552</v>
      </c>
      <c r="G11" s="3" t="s">
        <v>587</v>
      </c>
      <c r="H11" s="16" t="s">
        <v>568</v>
      </c>
      <c r="I11" s="3" t="s">
        <v>588</v>
      </c>
      <c r="J11" s="3" t="s">
        <v>589</v>
      </c>
      <c r="K11" s="16" t="s">
        <v>584</v>
      </c>
      <c r="L11" s="18">
        <v>2</v>
      </c>
    </row>
    <row r="12" spans="1:12" ht="57.95" customHeight="1" x14ac:dyDescent="0.3">
      <c r="A12" s="23">
        <v>7</v>
      </c>
      <c r="B12" s="3" t="s">
        <v>15</v>
      </c>
      <c r="C12" s="3" t="s">
        <v>16</v>
      </c>
      <c r="D12" s="3" t="s">
        <v>6</v>
      </c>
      <c r="E12" s="3" t="s">
        <v>590</v>
      </c>
      <c r="F12" s="16" t="s">
        <v>591</v>
      </c>
      <c r="G12" s="3" t="s">
        <v>592</v>
      </c>
      <c r="H12" s="16" t="s">
        <v>554</v>
      </c>
      <c r="I12" s="3" t="s">
        <v>593</v>
      </c>
      <c r="J12" s="3" t="s">
        <v>594</v>
      </c>
      <c r="K12" s="16" t="s">
        <v>584</v>
      </c>
      <c r="L12" s="18">
        <v>1</v>
      </c>
    </row>
    <row r="13" spans="1:12" ht="57.95" customHeight="1" x14ac:dyDescent="0.3">
      <c r="A13" s="23">
        <v>8</v>
      </c>
      <c r="B13" s="3" t="s">
        <v>595</v>
      </c>
      <c r="C13" s="3" t="s">
        <v>596</v>
      </c>
      <c r="D13" s="3" t="s">
        <v>6</v>
      </c>
      <c r="E13" s="3" t="s">
        <v>597</v>
      </c>
      <c r="F13" s="16" t="s">
        <v>591</v>
      </c>
      <c r="G13" s="3" t="s">
        <v>598</v>
      </c>
      <c r="H13" s="16" t="s">
        <v>568</v>
      </c>
      <c r="I13" s="3" t="s">
        <v>599</v>
      </c>
      <c r="J13" s="3" t="s">
        <v>600</v>
      </c>
      <c r="K13" s="16" t="s">
        <v>584</v>
      </c>
      <c r="L13" s="18">
        <v>2</v>
      </c>
    </row>
    <row r="14" spans="1:12" ht="57.95" customHeight="1" x14ac:dyDescent="0.3">
      <c r="A14" s="23">
        <v>9</v>
      </c>
      <c r="B14" s="3" t="s">
        <v>601</v>
      </c>
      <c r="C14" s="3" t="s">
        <v>602</v>
      </c>
      <c r="D14" s="3" t="s">
        <v>6</v>
      </c>
      <c r="E14" s="3" t="s">
        <v>603</v>
      </c>
      <c r="F14" s="16" t="s">
        <v>591</v>
      </c>
      <c r="G14" s="3" t="s">
        <v>604</v>
      </c>
      <c r="H14" s="16" t="s">
        <v>568</v>
      </c>
      <c r="I14" s="3" t="s">
        <v>605</v>
      </c>
      <c r="J14" s="3" t="s">
        <v>606</v>
      </c>
      <c r="K14" s="16" t="s">
        <v>607</v>
      </c>
      <c r="L14" s="18">
        <v>5</v>
      </c>
    </row>
    <row r="15" spans="1:12" ht="57.95" customHeight="1" x14ac:dyDescent="0.3">
      <c r="A15" s="23">
        <v>10</v>
      </c>
      <c r="B15" s="3" t="s">
        <v>608</v>
      </c>
      <c r="C15" s="3" t="s">
        <v>609</v>
      </c>
      <c r="D15" s="3" t="s">
        <v>6</v>
      </c>
      <c r="E15" s="3" t="s">
        <v>610</v>
      </c>
      <c r="F15" s="16" t="s">
        <v>591</v>
      </c>
      <c r="G15" s="3" t="s">
        <v>611</v>
      </c>
      <c r="H15" s="16" t="s">
        <v>554</v>
      </c>
      <c r="I15" s="3" t="s">
        <v>612</v>
      </c>
      <c r="J15" s="3" t="s">
        <v>613</v>
      </c>
      <c r="K15" s="16" t="s">
        <v>607</v>
      </c>
      <c r="L15" s="18">
        <v>3</v>
      </c>
    </row>
    <row r="16" spans="1:12" ht="57.95" customHeight="1" x14ac:dyDescent="0.3">
      <c r="A16" s="23">
        <v>11</v>
      </c>
      <c r="B16" s="3" t="s">
        <v>614</v>
      </c>
      <c r="C16" s="3" t="s">
        <v>615</v>
      </c>
      <c r="D16" s="3" t="s">
        <v>6</v>
      </c>
      <c r="E16" s="3" t="s">
        <v>16</v>
      </c>
      <c r="F16" s="16" t="s">
        <v>591</v>
      </c>
      <c r="G16" s="3" t="s">
        <v>616</v>
      </c>
      <c r="H16" s="16" t="s">
        <v>568</v>
      </c>
      <c r="I16" s="3" t="s">
        <v>617</v>
      </c>
      <c r="J16" s="3" t="s">
        <v>618</v>
      </c>
      <c r="K16" s="16" t="s">
        <v>619</v>
      </c>
      <c r="L16" s="18">
        <v>1</v>
      </c>
    </row>
    <row r="17" spans="1:12" ht="57.95" customHeight="1" x14ac:dyDescent="0.3">
      <c r="A17" s="23">
        <v>12</v>
      </c>
      <c r="B17" s="3" t="s">
        <v>7</v>
      </c>
      <c r="C17" s="3" t="s">
        <v>620</v>
      </c>
      <c r="D17" s="3" t="s">
        <v>7</v>
      </c>
      <c r="E17" s="3" t="s">
        <v>621</v>
      </c>
      <c r="F17" s="16" t="s">
        <v>591</v>
      </c>
      <c r="G17" s="3" t="s">
        <v>622</v>
      </c>
      <c r="H17" s="16" t="s">
        <v>568</v>
      </c>
      <c r="I17" s="3" t="s">
        <v>623</v>
      </c>
      <c r="J17" s="3" t="s">
        <v>624</v>
      </c>
      <c r="K17" s="16" t="s">
        <v>619</v>
      </c>
      <c r="L17" s="18">
        <v>1</v>
      </c>
    </row>
    <row r="18" spans="1:12" ht="57.95" customHeight="1" x14ac:dyDescent="0.3">
      <c r="A18" s="23">
        <v>13</v>
      </c>
      <c r="B18" s="3" t="s">
        <v>8</v>
      </c>
      <c r="C18" s="3" t="s">
        <v>625</v>
      </c>
      <c r="D18" s="3" t="s">
        <v>8</v>
      </c>
      <c r="E18" s="3" t="s">
        <v>626</v>
      </c>
      <c r="F18" s="16" t="s">
        <v>627</v>
      </c>
      <c r="G18" s="3" t="s">
        <v>628</v>
      </c>
      <c r="H18" s="16" t="s">
        <v>563</v>
      </c>
      <c r="I18" s="3" t="s">
        <v>629</v>
      </c>
      <c r="J18" s="3" t="s">
        <v>630</v>
      </c>
      <c r="K18" s="16" t="s">
        <v>619</v>
      </c>
      <c r="L18" s="18">
        <v>0.5</v>
      </c>
    </row>
    <row r="19" spans="1:12" ht="57.95" customHeight="1" x14ac:dyDescent="0.3">
      <c r="A19" s="23">
        <v>14</v>
      </c>
      <c r="B19" s="3" t="s">
        <v>631</v>
      </c>
      <c r="C19" s="3" t="s">
        <v>632</v>
      </c>
      <c r="D19" s="3" t="s">
        <v>550</v>
      </c>
      <c r="E19" s="3" t="s">
        <v>633</v>
      </c>
      <c r="F19" s="16" t="s">
        <v>580</v>
      </c>
      <c r="G19" s="3" t="s">
        <v>634</v>
      </c>
      <c r="H19" s="16" t="s">
        <v>554</v>
      </c>
      <c r="I19" s="3" t="s">
        <v>635</v>
      </c>
      <c r="J19" s="3" t="s">
        <v>636</v>
      </c>
      <c r="K19" s="16" t="s">
        <v>619</v>
      </c>
      <c r="L19" s="18">
        <v>0.5</v>
      </c>
    </row>
    <row r="20" spans="1:12" ht="57.95" customHeight="1" x14ac:dyDescent="0.3">
      <c r="A20" s="23">
        <v>15</v>
      </c>
      <c r="B20" s="3" t="s">
        <v>637</v>
      </c>
      <c r="C20" s="3" t="s">
        <v>638</v>
      </c>
      <c r="D20" s="3" t="s">
        <v>6</v>
      </c>
      <c r="E20" s="3" t="s">
        <v>590</v>
      </c>
      <c r="F20" s="16" t="s">
        <v>591</v>
      </c>
      <c r="G20" s="3" t="s">
        <v>639</v>
      </c>
      <c r="H20" s="16" t="s">
        <v>568</v>
      </c>
      <c r="I20" s="3" t="s">
        <v>640</v>
      </c>
      <c r="J20" s="3" t="s">
        <v>641</v>
      </c>
      <c r="K20" s="16" t="s">
        <v>619</v>
      </c>
      <c r="L20" s="18">
        <v>1</v>
      </c>
    </row>
    <row r="21" spans="1:12" ht="57.95" customHeight="1" x14ac:dyDescent="0.3">
      <c r="A21" s="23">
        <v>16</v>
      </c>
      <c r="B21" s="3" t="s">
        <v>642</v>
      </c>
      <c r="C21" s="3" t="s">
        <v>643</v>
      </c>
      <c r="D21" s="3" t="s">
        <v>550</v>
      </c>
      <c r="E21" s="3" t="s">
        <v>644</v>
      </c>
      <c r="F21" s="16" t="s">
        <v>591</v>
      </c>
      <c r="G21" s="3" t="s">
        <v>645</v>
      </c>
      <c r="H21" s="16" t="s">
        <v>554</v>
      </c>
      <c r="I21" s="3" t="s">
        <v>646</v>
      </c>
      <c r="J21" s="3" t="s">
        <v>647</v>
      </c>
      <c r="K21" s="16" t="s">
        <v>619</v>
      </c>
      <c r="L21" s="18">
        <v>0.5</v>
      </c>
    </row>
    <row r="22" spans="1:12" ht="57.95" customHeight="1" x14ac:dyDescent="0.3">
      <c r="A22" s="23">
        <v>17</v>
      </c>
      <c r="B22" s="3" t="s">
        <v>648</v>
      </c>
      <c r="C22" s="3" t="s">
        <v>649</v>
      </c>
      <c r="D22" s="3" t="s">
        <v>6</v>
      </c>
      <c r="E22" s="3" t="s">
        <v>650</v>
      </c>
      <c r="F22" s="16" t="s">
        <v>591</v>
      </c>
      <c r="G22" s="3" t="s">
        <v>651</v>
      </c>
      <c r="H22" s="16" t="s">
        <v>554</v>
      </c>
      <c r="I22" s="3" t="s">
        <v>652</v>
      </c>
      <c r="J22" s="3" t="s">
        <v>653</v>
      </c>
      <c r="K22" s="16" t="s">
        <v>619</v>
      </c>
      <c r="L22" s="18">
        <v>0.5</v>
      </c>
    </row>
    <row r="23" spans="1:12" ht="57.95" customHeight="1" x14ac:dyDescent="0.3">
      <c r="A23" s="23">
        <v>18</v>
      </c>
      <c r="B23" s="3" t="s">
        <v>19</v>
      </c>
      <c r="C23" s="3" t="s">
        <v>654</v>
      </c>
      <c r="D23" s="3" t="s">
        <v>550</v>
      </c>
      <c r="E23" s="3" t="s">
        <v>655</v>
      </c>
      <c r="F23" s="16" t="s">
        <v>627</v>
      </c>
      <c r="G23" s="3" t="s">
        <v>656</v>
      </c>
      <c r="H23" s="16" t="s">
        <v>563</v>
      </c>
      <c r="I23" s="3" t="s">
        <v>657</v>
      </c>
      <c r="J23" s="3" t="s">
        <v>658</v>
      </c>
      <c r="K23" s="16" t="s">
        <v>619</v>
      </c>
      <c r="L23" s="18">
        <v>1</v>
      </c>
    </row>
    <row r="24" spans="1:12" ht="57.95" customHeight="1" x14ac:dyDescent="0.3">
      <c r="A24" s="23">
        <v>20</v>
      </c>
      <c r="B24" s="3" t="s">
        <v>659</v>
      </c>
      <c r="C24" s="3" t="s">
        <v>660</v>
      </c>
      <c r="D24" s="3" t="s">
        <v>550</v>
      </c>
      <c r="E24" s="3" t="s">
        <v>661</v>
      </c>
      <c r="F24" s="16" t="s">
        <v>591</v>
      </c>
      <c r="G24" s="3" t="s">
        <v>662</v>
      </c>
      <c r="H24" s="16" t="s">
        <v>568</v>
      </c>
      <c r="I24" s="3" t="s">
        <v>663</v>
      </c>
      <c r="J24" s="3" t="s">
        <v>664</v>
      </c>
      <c r="K24" s="16" t="s">
        <v>619</v>
      </c>
      <c r="L24" s="18">
        <v>0</v>
      </c>
    </row>
    <row r="25" spans="1:12" ht="57.95" customHeight="1" x14ac:dyDescent="0.3">
      <c r="A25" s="24">
        <v>21</v>
      </c>
      <c r="B25" s="5" t="s">
        <v>665</v>
      </c>
      <c r="C25" s="5" t="s">
        <v>666</v>
      </c>
      <c r="D25" s="5" t="s">
        <v>550</v>
      </c>
      <c r="E25" s="5" t="s">
        <v>667</v>
      </c>
      <c r="F25" s="19" t="s">
        <v>591</v>
      </c>
      <c r="G25" s="5" t="s">
        <v>668</v>
      </c>
      <c r="H25" s="19" t="s">
        <v>568</v>
      </c>
      <c r="I25" s="5" t="s">
        <v>669</v>
      </c>
      <c r="J25" s="5" t="s">
        <v>670</v>
      </c>
      <c r="K25" s="19" t="s">
        <v>619</v>
      </c>
      <c r="L25" s="21">
        <v>0</v>
      </c>
    </row>
  </sheetData>
  <mergeCells count="2">
    <mergeCell ref="A1:L2"/>
    <mergeCell ref="A3:L3"/>
  </mergeCells>
  <phoneticPr fontId="10" type="noConversion"/>
  <conditionalFormatting sqref="F6:F25">
    <cfRule type="containsText" dxfId="19" priority="1" operator="containsText" text="통과"/>
    <cfRule type="containsText" dxfId="18" priority="2" operator="containsText" text="주의"/>
    <cfRule type="containsText" dxfId="17" priority="5" operator="containsText" text="통과"/>
    <cfRule type="containsText" dxfId="16" priority="6" operator="containsText" text="주의"/>
    <cfRule type="containsText" dxfId="15" priority="9" operator="containsText" text="통과"/>
    <cfRule type="containsText" dxfId="14" priority="10" operator="containsText" text="주의"/>
  </conditionalFormatting>
  <conditionalFormatting sqref="H6:H25">
    <cfRule type="containsText" dxfId="13" priority="3" operator="containsText" text="높음"/>
    <cfRule type="containsText" dxfId="12" priority="4" operator="containsText" text="중간"/>
    <cfRule type="containsText" dxfId="11" priority="7" operator="containsText" text="높음"/>
    <cfRule type="containsText" dxfId="10" priority="8" operator="containsText" text="중간"/>
    <cfRule type="containsText" dxfId="9" priority="11" operator="containsText" text="높음"/>
    <cfRule type="containsText" dxfId="8" priority="12" operator="containsText" text="중간"/>
  </conditionalFormatting>
  <dataValidations count="2">
    <dataValidation type="list" sqref="F6:F25" xr:uid="{00000000-0002-0000-0200-000000000000}">
      <formula1>"초기 통과,초기 확인,주의,본 점검 필요,계획,PASS,ISSUE,미검증"</formula1>
    </dataValidation>
    <dataValidation type="list" sqref="H6:H25" xr:uid="{00000000-0002-0000-0200-000001000000}">
      <formula1>"낮음,중간,높음"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showGridLines="0" workbookViewId="0"/>
  </sheetViews>
  <sheetFormatPr defaultRowHeight="16.5" x14ac:dyDescent="0.3"/>
  <cols>
    <col min="1" max="1" width="6" customWidth="1"/>
    <col min="2" max="2" width="10" customWidth="1"/>
    <col min="3" max="3" width="14" customWidth="1"/>
    <col min="4" max="4" width="24" customWidth="1"/>
    <col min="5" max="5" width="48" customWidth="1"/>
    <col min="6" max="6" width="30" customWidth="1"/>
    <col min="7" max="8" width="14" customWidth="1"/>
    <col min="9" max="9" width="40" customWidth="1"/>
  </cols>
  <sheetData>
    <row r="1" spans="1:9" ht="27.95" customHeight="1" x14ac:dyDescent="0.3">
      <c r="A1" s="56" t="s">
        <v>671</v>
      </c>
      <c r="B1" s="57"/>
      <c r="C1" s="57"/>
      <c r="D1" s="57"/>
      <c r="E1" s="57"/>
      <c r="F1" s="57"/>
      <c r="G1" s="57"/>
      <c r="H1" s="57"/>
      <c r="I1" s="58"/>
    </row>
    <row r="2" spans="1:9" ht="27.95" customHeight="1" x14ac:dyDescent="0.3">
      <c r="A2" s="59"/>
      <c r="B2" s="60"/>
      <c r="C2" s="60"/>
      <c r="D2" s="60"/>
      <c r="E2" s="60"/>
      <c r="F2" s="60"/>
      <c r="G2" s="60"/>
      <c r="H2" s="60"/>
      <c r="I2" s="61"/>
    </row>
    <row r="3" spans="1:9" ht="32.1" customHeight="1" x14ac:dyDescent="0.3">
      <c r="A3" s="69" t="s">
        <v>672</v>
      </c>
      <c r="B3" s="53"/>
      <c r="C3" s="53"/>
      <c r="D3" s="53"/>
      <c r="E3" s="53"/>
      <c r="F3" s="53"/>
      <c r="G3" s="53"/>
      <c r="H3" s="53"/>
      <c r="I3" s="54"/>
    </row>
    <row r="5" spans="1:9" ht="36" customHeight="1" x14ac:dyDescent="0.3">
      <c r="A5" s="30" t="s">
        <v>44</v>
      </c>
      <c r="B5" s="30" t="s">
        <v>673</v>
      </c>
      <c r="C5" s="30" t="s">
        <v>674</v>
      </c>
      <c r="D5" s="30" t="s">
        <v>675</v>
      </c>
      <c r="E5" s="30" t="s">
        <v>676</v>
      </c>
      <c r="F5" s="30" t="s">
        <v>677</v>
      </c>
      <c r="G5" s="30" t="s">
        <v>547</v>
      </c>
      <c r="H5" s="30" t="s">
        <v>129</v>
      </c>
      <c r="I5" s="30" t="s">
        <v>678</v>
      </c>
    </row>
    <row r="6" spans="1:9" ht="51.95" customHeight="1" x14ac:dyDescent="0.3">
      <c r="A6" s="22">
        <v>1</v>
      </c>
      <c r="B6" s="13" t="s">
        <v>557</v>
      </c>
      <c r="C6" s="13" t="s">
        <v>679</v>
      </c>
      <c r="D6" s="1" t="s">
        <v>680</v>
      </c>
      <c r="E6" s="1" t="s">
        <v>681</v>
      </c>
      <c r="F6" s="1" t="s">
        <v>682</v>
      </c>
      <c r="G6" s="27">
        <v>1</v>
      </c>
      <c r="H6" s="13" t="s">
        <v>591</v>
      </c>
      <c r="I6" s="2" t="s">
        <v>683</v>
      </c>
    </row>
    <row r="7" spans="1:9" ht="51.95" customHeight="1" x14ac:dyDescent="0.3">
      <c r="A7" s="23">
        <v>2</v>
      </c>
      <c r="B7" s="16" t="s">
        <v>557</v>
      </c>
      <c r="C7" s="16" t="s">
        <v>684</v>
      </c>
      <c r="D7" s="3" t="s">
        <v>685</v>
      </c>
      <c r="E7" s="3" t="s">
        <v>686</v>
      </c>
      <c r="F7" s="3" t="s">
        <v>687</v>
      </c>
      <c r="G7" s="28">
        <v>3</v>
      </c>
      <c r="H7" s="16" t="s">
        <v>73</v>
      </c>
      <c r="I7" s="4" t="s">
        <v>688</v>
      </c>
    </row>
    <row r="8" spans="1:9" ht="51.95" customHeight="1" x14ac:dyDescent="0.3">
      <c r="A8" s="23">
        <v>3</v>
      </c>
      <c r="B8" s="16" t="s">
        <v>557</v>
      </c>
      <c r="C8" s="16" t="s">
        <v>689</v>
      </c>
      <c r="D8" s="3" t="s">
        <v>690</v>
      </c>
      <c r="E8" s="3" t="s">
        <v>691</v>
      </c>
      <c r="F8" s="3" t="s">
        <v>692</v>
      </c>
      <c r="G8" s="28">
        <v>4</v>
      </c>
      <c r="H8" s="16" t="s">
        <v>591</v>
      </c>
      <c r="I8" s="4" t="s">
        <v>693</v>
      </c>
    </row>
    <row r="9" spans="1:9" ht="51.95" customHeight="1" x14ac:dyDescent="0.3">
      <c r="A9" s="23">
        <v>4</v>
      </c>
      <c r="B9" s="16" t="s">
        <v>584</v>
      </c>
      <c r="C9" s="16" t="s">
        <v>694</v>
      </c>
      <c r="D9" s="3" t="s">
        <v>695</v>
      </c>
      <c r="E9" s="3" t="s">
        <v>696</v>
      </c>
      <c r="F9" s="3" t="s">
        <v>697</v>
      </c>
      <c r="G9" s="28">
        <v>3</v>
      </c>
      <c r="H9" s="16" t="s">
        <v>591</v>
      </c>
      <c r="I9" s="4" t="s">
        <v>698</v>
      </c>
    </row>
    <row r="10" spans="1:9" ht="51.95" customHeight="1" x14ac:dyDescent="0.3">
      <c r="A10" s="23">
        <v>5</v>
      </c>
      <c r="B10" s="16" t="s">
        <v>584</v>
      </c>
      <c r="C10" s="16" t="s">
        <v>699</v>
      </c>
      <c r="D10" s="3" t="s">
        <v>700</v>
      </c>
      <c r="E10" s="3" t="s">
        <v>701</v>
      </c>
      <c r="F10" s="3" t="s">
        <v>702</v>
      </c>
      <c r="G10" s="28">
        <v>2</v>
      </c>
      <c r="H10" s="16" t="s">
        <v>591</v>
      </c>
      <c r="I10" s="4" t="s">
        <v>703</v>
      </c>
    </row>
    <row r="11" spans="1:9" ht="51.95" customHeight="1" x14ac:dyDescent="0.3">
      <c r="A11" s="23">
        <v>6</v>
      </c>
      <c r="B11" s="16" t="s">
        <v>584</v>
      </c>
      <c r="C11" s="16" t="s">
        <v>704</v>
      </c>
      <c r="D11" s="3" t="s">
        <v>705</v>
      </c>
      <c r="E11" s="3" t="s">
        <v>706</v>
      </c>
      <c r="F11" s="3" t="s">
        <v>707</v>
      </c>
      <c r="G11" s="28">
        <v>3</v>
      </c>
      <c r="H11" s="16" t="s">
        <v>591</v>
      </c>
      <c r="I11" s="4" t="s">
        <v>708</v>
      </c>
    </row>
    <row r="12" spans="1:9" ht="51.95" customHeight="1" x14ac:dyDescent="0.3">
      <c r="A12" s="23">
        <v>7</v>
      </c>
      <c r="B12" s="16" t="s">
        <v>607</v>
      </c>
      <c r="C12" s="16" t="s">
        <v>709</v>
      </c>
      <c r="D12" s="3" t="s">
        <v>710</v>
      </c>
      <c r="E12" s="3" t="s">
        <v>711</v>
      </c>
      <c r="F12" s="3" t="s">
        <v>712</v>
      </c>
      <c r="G12" s="28">
        <v>5</v>
      </c>
      <c r="H12" s="16" t="s">
        <v>591</v>
      </c>
      <c r="I12" s="4" t="s">
        <v>713</v>
      </c>
    </row>
    <row r="13" spans="1:9" ht="51.95" customHeight="1" x14ac:dyDescent="0.3">
      <c r="A13" s="23">
        <v>8</v>
      </c>
      <c r="B13" s="16" t="s">
        <v>607</v>
      </c>
      <c r="C13" s="16" t="s">
        <v>714</v>
      </c>
      <c r="D13" s="3" t="s">
        <v>715</v>
      </c>
      <c r="E13" s="3" t="s">
        <v>716</v>
      </c>
      <c r="F13" s="3" t="s">
        <v>717</v>
      </c>
      <c r="G13" s="28">
        <v>3</v>
      </c>
      <c r="H13" s="16" t="s">
        <v>591</v>
      </c>
      <c r="I13" s="4" t="s">
        <v>718</v>
      </c>
    </row>
    <row r="14" spans="1:9" ht="51.95" customHeight="1" x14ac:dyDescent="0.3">
      <c r="A14" s="23">
        <v>9</v>
      </c>
      <c r="B14" s="16" t="s">
        <v>619</v>
      </c>
      <c r="C14" s="16" t="s">
        <v>719</v>
      </c>
      <c r="D14" s="3" t="s">
        <v>720</v>
      </c>
      <c r="E14" s="3" t="s">
        <v>721</v>
      </c>
      <c r="F14" s="3" t="s">
        <v>722</v>
      </c>
      <c r="G14" s="28">
        <v>2</v>
      </c>
      <c r="H14" s="16" t="s">
        <v>591</v>
      </c>
      <c r="I14" s="4" t="s">
        <v>723</v>
      </c>
    </row>
    <row r="15" spans="1:9" ht="51.95" customHeight="1" x14ac:dyDescent="0.3">
      <c r="A15" s="23">
        <v>10</v>
      </c>
      <c r="B15" s="16" t="s">
        <v>619</v>
      </c>
      <c r="C15" s="16" t="s">
        <v>724</v>
      </c>
      <c r="D15" s="3" t="s">
        <v>725</v>
      </c>
      <c r="E15" s="3" t="s">
        <v>726</v>
      </c>
      <c r="F15" s="3" t="s">
        <v>727</v>
      </c>
      <c r="G15" s="28">
        <v>1</v>
      </c>
      <c r="H15" s="16" t="s">
        <v>591</v>
      </c>
      <c r="I15" s="4" t="s">
        <v>728</v>
      </c>
    </row>
    <row r="16" spans="1:9" ht="51.95" customHeight="1" x14ac:dyDescent="0.3">
      <c r="A16" s="24">
        <v>11</v>
      </c>
      <c r="B16" s="19" t="s">
        <v>619</v>
      </c>
      <c r="C16" s="19" t="s">
        <v>729</v>
      </c>
      <c r="D16" s="5" t="s">
        <v>730</v>
      </c>
      <c r="E16" s="5" t="s">
        <v>731</v>
      </c>
      <c r="F16" s="5" t="s">
        <v>732</v>
      </c>
      <c r="G16" s="29">
        <v>1</v>
      </c>
      <c r="H16" s="19" t="s">
        <v>591</v>
      </c>
      <c r="I16" s="6" t="s">
        <v>733</v>
      </c>
    </row>
    <row r="17" spans="1:9" x14ac:dyDescent="0.3">
      <c r="A17" s="70" t="s">
        <v>734</v>
      </c>
      <c r="B17" s="70"/>
      <c r="C17" s="70"/>
      <c r="D17" s="70"/>
      <c r="E17" s="70"/>
      <c r="F17" s="70"/>
      <c r="G17" s="35">
        <f>SUM(G6:G16)</f>
        <v>28</v>
      </c>
      <c r="H17" s="71" t="str">
        <f>IF(G17=28,"28시간 일치","시간 재산정")</f>
        <v>28시간 일치</v>
      </c>
      <c r="I17" s="71"/>
    </row>
  </sheetData>
  <mergeCells count="4">
    <mergeCell ref="A1:I2"/>
    <mergeCell ref="A3:I3"/>
    <mergeCell ref="A17:F17"/>
    <mergeCell ref="H17:I17"/>
  </mergeCells>
  <phoneticPr fontId="10" type="noConversion"/>
  <conditionalFormatting sqref="H6:H16">
    <cfRule type="containsText" dxfId="7" priority="1" operator="containsText" text="완료"/>
    <cfRule type="containsText" dxfId="6" priority="2" operator="containsText" text="지연"/>
    <cfRule type="containsText" dxfId="5" priority="3" operator="containsText" text="완료"/>
    <cfRule type="containsText" dxfId="4" priority="4" operator="containsText" text="지연"/>
    <cfRule type="containsText" dxfId="3" priority="5" operator="containsText" text="완료"/>
    <cfRule type="containsText" dxfId="2" priority="6" operator="containsText" text="지연"/>
  </conditionalFormatting>
  <dataValidations count="1">
    <dataValidation type="list" sqref="H6:H16" xr:uid="{00000000-0002-0000-0300-000000000000}">
      <formula1>"작성 완료,진행 예정,계획,진행 중,완료,지연"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showGridLines="0" workbookViewId="0">
      <selection activeCell="D8" sqref="D8"/>
    </sheetView>
  </sheetViews>
  <sheetFormatPr defaultRowHeight="16.5" x14ac:dyDescent="0.3"/>
  <cols>
    <col min="1" max="1" width="6" customWidth="1"/>
    <col min="2" max="2" width="14" customWidth="1"/>
    <col min="3" max="3" width="42" customWidth="1"/>
    <col min="4" max="4" width="20" customWidth="1"/>
    <col min="5" max="6" width="44" customWidth="1"/>
    <col min="7" max="7" width="12" customWidth="1"/>
    <col min="8" max="8" width="14" customWidth="1"/>
    <col min="9" max="9" width="12" customWidth="1"/>
    <col min="10" max="10" width="34" customWidth="1"/>
  </cols>
  <sheetData>
    <row r="1" spans="1:10" ht="27.95" customHeight="1" x14ac:dyDescent="0.3">
      <c r="A1" s="56" t="s">
        <v>735</v>
      </c>
      <c r="B1" s="57"/>
      <c r="C1" s="57"/>
      <c r="D1" s="57"/>
      <c r="E1" s="57"/>
      <c r="F1" s="57"/>
      <c r="G1" s="57"/>
      <c r="H1" s="57"/>
      <c r="I1" s="57"/>
      <c r="J1" s="58"/>
    </row>
    <row r="2" spans="1:10" ht="27.95" customHeight="1" x14ac:dyDescent="0.3">
      <c r="A2" s="59"/>
      <c r="B2" s="60"/>
      <c r="C2" s="60"/>
      <c r="D2" s="60"/>
      <c r="E2" s="60"/>
      <c r="F2" s="60"/>
      <c r="G2" s="60"/>
      <c r="H2" s="60"/>
      <c r="I2" s="60"/>
      <c r="J2" s="61"/>
    </row>
    <row r="3" spans="1:10" ht="32.1" customHeight="1" x14ac:dyDescent="0.3">
      <c r="A3" s="69" t="s">
        <v>736</v>
      </c>
      <c r="B3" s="53"/>
      <c r="C3" s="53"/>
      <c r="D3" s="53"/>
      <c r="E3" s="53"/>
      <c r="F3" s="53"/>
      <c r="G3" s="53"/>
      <c r="H3" s="53"/>
      <c r="I3" s="53"/>
      <c r="J3" s="54"/>
    </row>
    <row r="5" spans="1:10" ht="36" customHeight="1" x14ac:dyDescent="0.3">
      <c r="A5" s="30" t="s">
        <v>44</v>
      </c>
      <c r="B5" s="30" t="s">
        <v>2</v>
      </c>
      <c r="C5" s="30" t="s">
        <v>737</v>
      </c>
      <c r="D5" s="30" t="s">
        <v>738</v>
      </c>
      <c r="E5" s="30" t="s">
        <v>739</v>
      </c>
      <c r="F5" s="30" t="s">
        <v>545</v>
      </c>
      <c r="G5" s="30" t="s">
        <v>740</v>
      </c>
      <c r="H5" s="30" t="s">
        <v>129</v>
      </c>
      <c r="I5" s="30" t="s">
        <v>741</v>
      </c>
      <c r="J5" s="30" t="s">
        <v>742</v>
      </c>
    </row>
    <row r="6" spans="1:10" ht="48" customHeight="1" x14ac:dyDescent="0.3">
      <c r="A6" s="44">
        <v>1</v>
      </c>
      <c r="B6" s="40" t="s">
        <v>743</v>
      </c>
      <c r="C6" s="38" t="s">
        <v>744</v>
      </c>
      <c r="D6" s="38" t="s">
        <v>745</v>
      </c>
      <c r="E6" s="38" t="s">
        <v>746</v>
      </c>
      <c r="F6" s="38" t="s">
        <v>747</v>
      </c>
      <c r="G6" s="40" t="s">
        <v>557</v>
      </c>
      <c r="H6" s="41" t="s">
        <v>748</v>
      </c>
      <c r="I6" s="40" t="s">
        <v>137</v>
      </c>
      <c r="J6" s="45" t="s">
        <v>749</v>
      </c>
    </row>
    <row r="7" spans="1:10" ht="48" customHeight="1" x14ac:dyDescent="0.3">
      <c r="A7" s="46">
        <v>2</v>
      </c>
      <c r="B7" s="47" t="s">
        <v>743</v>
      </c>
      <c r="C7" s="48" t="s">
        <v>744</v>
      </c>
      <c r="D7" s="48" t="s">
        <v>560</v>
      </c>
      <c r="E7" s="48" t="s">
        <v>750</v>
      </c>
      <c r="F7" s="48" t="s">
        <v>751</v>
      </c>
      <c r="G7" s="47" t="s">
        <v>557</v>
      </c>
      <c r="H7" s="42" t="s">
        <v>748</v>
      </c>
      <c r="I7" s="47" t="s">
        <v>137</v>
      </c>
      <c r="J7" s="49" t="s">
        <v>752</v>
      </c>
    </row>
    <row r="8" spans="1:10" ht="48" customHeight="1" x14ac:dyDescent="0.3">
      <c r="A8" s="46">
        <v>4</v>
      </c>
      <c r="B8" s="47" t="s">
        <v>743</v>
      </c>
      <c r="C8" s="48" t="s">
        <v>744</v>
      </c>
      <c r="D8" s="48" t="s">
        <v>753</v>
      </c>
      <c r="E8" s="48" t="s">
        <v>754</v>
      </c>
      <c r="F8" s="48" t="s">
        <v>755</v>
      </c>
      <c r="G8" s="47" t="s">
        <v>557</v>
      </c>
      <c r="H8" s="42" t="s">
        <v>748</v>
      </c>
      <c r="I8" s="47" t="s">
        <v>137</v>
      </c>
      <c r="J8" s="49" t="s">
        <v>756</v>
      </c>
    </row>
    <row r="9" spans="1:10" ht="48" customHeight="1" x14ac:dyDescent="0.3">
      <c r="A9" s="50">
        <v>5</v>
      </c>
      <c r="B9" s="43" t="s">
        <v>757</v>
      </c>
      <c r="C9" s="39" t="s">
        <v>758</v>
      </c>
      <c r="D9" s="39" t="s">
        <v>759</v>
      </c>
      <c r="E9" s="39" t="s">
        <v>760</v>
      </c>
      <c r="F9" s="39" t="s">
        <v>761</v>
      </c>
      <c r="G9" s="43" t="s">
        <v>584</v>
      </c>
      <c r="H9" s="52" t="s">
        <v>591</v>
      </c>
      <c r="I9" s="43" t="s">
        <v>137</v>
      </c>
      <c r="J9" s="51" t="s">
        <v>762</v>
      </c>
    </row>
    <row r="10" spans="1:10" ht="48" customHeight="1" x14ac:dyDescent="0.3">
      <c r="A10" s="46">
        <v>6</v>
      </c>
      <c r="B10" s="47" t="s">
        <v>757</v>
      </c>
      <c r="C10" s="48" t="s">
        <v>638</v>
      </c>
      <c r="D10" s="48" t="s">
        <v>763</v>
      </c>
      <c r="E10" s="48" t="s">
        <v>764</v>
      </c>
      <c r="F10" s="48" t="s">
        <v>765</v>
      </c>
      <c r="G10" s="47" t="s">
        <v>607</v>
      </c>
      <c r="H10" s="52" t="s">
        <v>591</v>
      </c>
      <c r="I10" s="47" t="s">
        <v>137</v>
      </c>
      <c r="J10" s="49" t="s">
        <v>766</v>
      </c>
    </row>
    <row r="11" spans="1:10" ht="48" customHeight="1" x14ac:dyDescent="0.3">
      <c r="A11" s="50">
        <v>7</v>
      </c>
      <c r="B11" s="43" t="s">
        <v>757</v>
      </c>
      <c r="C11" s="39" t="s">
        <v>767</v>
      </c>
      <c r="D11" s="39" t="s">
        <v>768</v>
      </c>
      <c r="E11" s="39" t="s">
        <v>769</v>
      </c>
      <c r="F11" s="39" t="s">
        <v>770</v>
      </c>
      <c r="G11" s="43" t="s">
        <v>607</v>
      </c>
      <c r="H11" s="52" t="s">
        <v>591</v>
      </c>
      <c r="I11" s="43" t="s">
        <v>137</v>
      </c>
      <c r="J11" s="51" t="s">
        <v>771</v>
      </c>
    </row>
    <row r="12" spans="1:10" ht="48" customHeight="1" x14ac:dyDescent="0.3">
      <c r="A12" s="46">
        <v>8</v>
      </c>
      <c r="B12" s="47" t="s">
        <v>757</v>
      </c>
      <c r="C12" s="48" t="s">
        <v>772</v>
      </c>
      <c r="D12" s="48" t="s">
        <v>773</v>
      </c>
      <c r="E12" s="48" t="s">
        <v>774</v>
      </c>
      <c r="F12" s="48" t="s">
        <v>775</v>
      </c>
      <c r="G12" s="47" t="s">
        <v>607</v>
      </c>
      <c r="H12" s="52" t="s">
        <v>591</v>
      </c>
      <c r="I12" s="47" t="s">
        <v>137</v>
      </c>
      <c r="J12" s="49" t="s">
        <v>776</v>
      </c>
    </row>
  </sheetData>
  <mergeCells count="2">
    <mergeCell ref="A1:J2"/>
    <mergeCell ref="A3:J3"/>
  </mergeCells>
  <phoneticPr fontId="10" type="noConversion"/>
  <conditionalFormatting sqref="H6:H12">
    <cfRule type="containsText" dxfId="1" priority="1" operator="containsText" text="완료"/>
    <cfRule type="containsText" dxfId="0" priority="2" operator="containsText" text="미수행"/>
  </conditionalFormatting>
  <dataValidations count="1">
    <dataValidation type="list" sqref="H6:H12" xr:uid="{00000000-0002-0000-0400-000000000000}">
      <formula1>"작성 완료,계획,미수행"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요약</vt:lpstr>
      <vt:lpstr>컴포넌트 목록</vt:lpstr>
      <vt:lpstr>프로젝트 점검</vt:lpstr>
      <vt:lpstr>3.5일 일정</vt:lpstr>
      <vt:lpstr>산출물 정의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</dc:creator>
  <cp:lastModifiedBy>박민지</cp:lastModifiedBy>
  <dcterms:created xsi:type="dcterms:W3CDTF">2026-08-19T02:36:00Z</dcterms:created>
  <dcterms:modified xsi:type="dcterms:W3CDTF">2026-08-19T02:39:45Z</dcterms:modified>
</cp:coreProperties>
</file>