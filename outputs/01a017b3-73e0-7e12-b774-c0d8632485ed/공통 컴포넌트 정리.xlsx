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f5dad9f35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da6019f0f3e42ae"/>
    <x:sheet xmlns:r="http://schemas.openxmlformats.org/officeDocument/2006/relationships" name="컴포넌트 목록" sheetId="2" r:id="R7f69d423267647b9"/>
    <x:sheet xmlns:r="http://schemas.openxmlformats.org/officeDocument/2006/relationships" name="프로젝트 점검" sheetId="3" r:id="Raf622179f01f4e01"/>
    <x:sheet xmlns:r="http://schemas.openxmlformats.org/officeDocument/2006/relationships" name="3.5일 일정" sheetId="4" r:id="R579d5d44de6f4643"/>
    <x:sheet xmlns:r="http://schemas.openxmlformats.org/officeDocument/2006/relationships" name="산출물 정의" sheetId="5" r:id="Rc279a36daaf84377"/>
    <x:sheet xmlns:r="http://schemas.openxmlformats.org/officeDocument/2006/relationships" name="Figma·중복 매핑" sheetId="6" r:id="R205e2af41025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&quot;건&quot;"/>
    <x:numFmt numFmtId="202" formatCode="0"/>
  </x:numFmts>
  <x:fonts count="21"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  <x:font>
      <x:sz val="10"/>
      <x:color theme="1"/>
      <x:name val="Arial Unicode MS"/>
    </x:font>
    <x:font>
      <x:b/>
      <x:sz val="18"/>
      <x:color theme="1"/>
      <x:name val="맑은 고딕"/>
    </x:font>
    <x:font>
      <x:sz val="11"/>
      <x:color theme="1"/>
      <x:name val="Wingdings"/>
    </x:font>
    <x:font>
      <x:sz val="11"/>
      <x:color theme="1"/>
      <x:name val="맑은 고딕"/>
    </x:font>
    <x:font>
      <x:sz val="9"/>
      <x:color theme="1"/>
      <x:name val="맑은 고딕"/>
    </x:font>
    <x:font>
      <x:sz val="10"/>
      <x:color theme="1"/>
      <x:name val="맑은 고딕"/>
    </x:font>
    <x:font>
      <x:b/>
      <x:sz val="18"/>
      <x:color rgb="FFFFFFFF"/>
      <x:name val="맑은 고딕"/>
    </x:font>
    <x:font>
      <x:sz val="10"/>
      <x:color rgb="FF595959"/>
      <x:name val="맑은 고딕"/>
    </x:font>
    <x:font>
      <x:b/>
      <x:sz val="10"/>
      <x:color rgb="FFFFFFFF"/>
      <x:name val="맑은 고딕"/>
    </x:font>
    <x:font>
      <x:sz val="9"/>
      <x:color rgb="FF1F1F1F"/>
      <x:name val="맑은 고딕"/>
    </x:font>
    <x:font>
      <x:b/>
      <x:sz val="9"/>
      <x:color rgb="FF1F1F1F"/>
      <x:name val="맑은 고딕"/>
    </x:font>
    <x:font>
      <x:b/>
      <x:sz val="9"/>
      <x:color rgb="FF7F6000"/>
      <x:name val="맑은 고딕"/>
    </x:font>
    <x:font>
      <x:b/>
      <x:sz val="11"/>
      <x:color rgb="FF1F4E78"/>
      <x:name val="맑은 고딕"/>
    </x:font>
    <x:font>
      <x:b/>
      <x:sz val="9"/>
      <x:color rgb="FF1F4E78"/>
      <x:name val="맑은 고딕"/>
    </x:font>
    <x:font>
      <x:b/>
      <x:sz val="20"/>
      <x:color rgb="FFFFFFFF"/>
      <x:name val="맑은 고딕"/>
    </x:font>
    <x:font>
      <x:b/>
      <x:sz val="11"/>
      <x:color rgb="FFFFFFFF"/>
      <x:name val="맑은 고딕"/>
    </x:font>
    <x:font>
      <x:b/>
      <x:sz val="13"/>
      <x:color rgb="FF1F4E78"/>
      <x:name val="맑은 고딕"/>
    </x:font>
    <x:font>
      <x:sz val="9"/>
      <x:color rgb="FF404040"/>
      <x:name val="맑은 고딕"/>
    </x:font>
  </x:fonts>
  <x:fills count="2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DEBF7"/>
      </x:patternFill>
    </x:fill>
    <x:fill>
      <x:patternFill patternType="solid">
        <x:fgColor rgb="FFC6E7F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43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medium">
        <x:color indexed="64"/>
      </x:right>
      <x:top style="thin">
        <x:color indexed="64"/>
      </x:top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bottom style="thin">
        <x:color rgb="FFD9E2E8"/>
      </x:bottom>
    </x:border>
    <x:border>
      <x:bottom style="thin">
        <x:color rgb="FFD9E2E8"/>
      </x:bottom>
    </x:border>
    <x:border>
      <x:right style="thin">
        <x:color rgb="FFB7C9D6"/>
      </x:right>
      <x:bottom style="thin">
        <x:color rgb="FFD9E2E8"/>
      </x:bottom>
    </x:border>
    <x:border>
      <x:left style="thin">
        <x:color rgb="FFB7C9D6"/>
      </x:lef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right style="thin">
        <x:color rgb="FFB7C9D6"/>
      </x:right>
      <x:top style="thin">
        <x:color rgb="FFD9E2E8"/>
      </x:top>
      <x:bottom style="thin">
        <x:color rgb="FFD9E2E8"/>
      </x:bottom>
    </x:border>
    <x:border>
      <x:left style="thin">
        <x:color rgb="FFB7C9D6"/>
      </x:left>
      <x:top style="thin">
        <x:color rgb="FFD9E2E8"/>
      </x:top>
      <x:bottom style="thin">
        <x:color rgb="FFB7C9D6"/>
      </x:bottom>
    </x:border>
    <x:border>
      <x:top style="thin">
        <x:color rgb="FFD9E2E8"/>
      </x:top>
      <x:bottom style="thin">
        <x:color rgb="FFB7C9D6"/>
      </x:bottom>
    </x:border>
    <x:border>
      <x:right style="thin">
        <x:color rgb="FFB7C9D6"/>
      </x:right>
      <x:top style="thin">
        <x:color rgb="FFD9E2E8"/>
      </x:top>
      <x:bottom style="thin">
        <x:color rgb="FFB7C9D6"/>
      </x:bottom>
    </x:border>
    <x:border>
      <x:left style="medium">
        <x:color rgb="FF1F4E78"/>
      </x:left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B4C7DC"/>
      </x:bottom>
    </x:border>
    <x:border>
      <x:top style="thin">
        <x:color rgb="FFB4C7DC"/>
      </x:top>
      <x:bottom style="thin">
        <x:color rgb="FFB4C7DC"/>
      </x:bottom>
    </x:border>
    <x:border>
      <x:top style="thin">
        <x:color rgb="FFB4C7DC"/>
      </x:top>
    </x:border>
    <x:border>
      <x:left style="thin">
        <x:color rgb="FFB7C9D6"/>
      </x:left>
      <x:bottom style="thin">
        <x:color rgb="FFB4C7DC"/>
      </x:bottom>
    </x:border>
    <x:border>
      <x:right style="thin">
        <x:color rgb="FFB7C9D6"/>
      </x:right>
      <x:bottom style="thin">
        <x:color rgb="FFB4C7DC"/>
      </x:bottom>
    </x:border>
    <x:border>
      <x:left style="thin">
        <x:color rgb="FFB7C9D6"/>
      </x:left>
      <x:top style="thin">
        <x:color rgb="FFB4C7DC"/>
      </x:top>
      <x:bottom style="thin">
        <x:color rgb="FFB4C7DC"/>
      </x:bottom>
    </x:border>
    <x:border>
      <x:right style="thin">
        <x:color rgb="FFB7C9D6"/>
      </x:right>
      <x:top style="thin">
        <x:color rgb="FFB4C7DC"/>
      </x:top>
      <x:bottom style="thin">
        <x:color rgb="FFB4C7DC"/>
      </x:bottom>
    </x:border>
    <x:border>
      <x:left style="thin">
        <x:color rgb="FFB7C9D6"/>
      </x:left>
      <x:top style="thin">
        <x:color rgb="FFB4C7DC"/>
      </x:top>
      <x:bottom style="thin">
        <x:color rgb="FFD9E2E8"/>
      </x:bottom>
    </x:border>
    <x:border>
      <x:top style="thin">
        <x:color rgb="FFB4C7DC"/>
      </x:top>
      <x:bottom style="thin">
        <x:color rgb="FFD9E2E8"/>
      </x:bottom>
    </x:border>
  </x:borders>
  <x:cellStyleXfs count="1">
    <x:xf numFmtId="0" fontId="0" fillId="0" borderId="0">
      <x:alignment vertical="center"/>
    </x:xf>
  </x:cellStyleXfs>
  <x:cellXfs count="294">
    <x:xf numFmtId="0" fontId="0" fillId="0" borderId="0" xfId="0">
      <x:alignment vertical="center"/>
    </x:xf>
    <x:xf numFmtId="0" fontId="0" fillId="0" borderId="4" xfId="0" applyBorder="1">
      <x:alignment vertical="center"/>
    </x:xf>
    <x:xf numFmtId="0" fontId="0" fillId="0" borderId="5" xfId="0" applyBorder="1">
      <x:alignment vertical="center"/>
    </x:xf>
    <x:xf numFmtId="0" fontId="0" fillId="0" borderId="6" xfId="0" applyBorder="1">
      <x:alignment vertical="center"/>
    </x:xf>
    <x:xf numFmtId="0" fontId="0" fillId="0" borderId="7" xfId="0" applyBorder="1">
      <x:alignment vertical="center"/>
    </x:xf>
    <x:xf numFmtId="0" fontId="0" fillId="0" borderId="8" xfId="0" applyBorder="1">
      <x:alignment vertical="center"/>
    </x:xf>
    <x:xf numFmtId="0" fontId="0" fillId="0" borderId="0" xfId="0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0" fillId="0" borderId="5" xfId="0" applyBorder="1" applyAlignment="1">
      <x:alignment vertical="center" wrapText="1"/>
    </x:xf>
    <x:xf numFmtId="0" fontId="2" fillId="0" borderId="10" xfId="0" applyFont="1" applyBorder="1" applyAlignment="1">
      <x:alignment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11" xfId="0" applyFont="1" applyBorder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9" fontId="0" fillId="0" borderId="0" xfId="0" applyNumberFormat="1">
      <x:alignment vertical="center"/>
    </x:xf>
    <x:xf numFmtId="0" fontId="2" fillId="0" borderId="9" xfId="0" applyFont="1" applyBorder="1" applyAlignment="1">
      <x:alignment horizontal="center" vertical="center" wrapText="1"/>
    </x:xf>
    <x:xf numFmtId="0" fontId="8" fillId="0" borderId="0" xfId="0" applyFont="1" applyAlignment="1">
      <x:alignment vertical="center" wrapText="1"/>
    </x:xf>
    <x:xf numFmtId="0" fontId="0" fillId="0" borderId="0" xfId="0" applyAlignment="1">
      <x:alignment horizontal="left" vertical="center" wrapText="1"/>
    </x:xf>
    <x:xf numFmtId="0" fontId="0" fillId="0" borderId="12" xfId="0" applyBorder="1" applyAlignment="1">
      <x:alignment vertical="center" wrapText="1"/>
    </x:xf>
    <x:xf numFmtId="0" fontId="0" fillId="0" borderId="13" xfId="0" applyBorder="1" applyAlignment="1">
      <x:alignment vertical="center" wrapText="1"/>
    </x:xf>
    <x:xf numFmtId="0" fontId="0" fillId="0" borderId="13" xfId="0" applyBorder="1" applyAlignment="1">
      <x:alignment vertical="center" wrapText="1"/>
    </x:xf>
    <x:xf numFmtId="0" fontId="3" fillId="0" borderId="13" xfId="0" applyFont="1" applyBorder="1" applyAlignment="1">
      <x:alignment vertical="center" wrapText="1"/>
    </x:xf>
    <x:xf numFmtId="0" fontId="0" fillId="0" borderId="14" xfId="0" applyBorder="1" applyAlignment="1">
      <x:alignment vertical="center" wrapText="1"/>
    </x:xf>
    <x:xf numFmtId="0" fontId="0" fillId="0" borderId="1" xfId="0" applyBorder="1">
      <x:alignment vertical="center"/>
    </x:xf>
    <x:xf numFmtId="0" fontId="0" fillId="0" borderId="2" xfId="0" applyBorder="1">
      <x:alignment vertical="center"/>
    </x:xf>
    <x:xf numFmtId="9" fontId="0" fillId="0" borderId="2" xfId="0" applyNumberFormat="1" applyBorder="1">
      <x:alignment vertical="center"/>
    </x:xf>
    <x:xf numFmtId="0" fontId="0" fillId="0" borderId="2" xfId="0" applyBorder="1" applyAlignment="1">
      <x:alignment vertical="center" wrapText="1"/>
    </x:xf>
    <x:xf numFmtId="0" fontId="8" fillId="0" borderId="2" xfId="0" applyFont="1" applyBorder="1" applyAlignment="1">
      <x:alignment vertical="center" wrapText="1"/>
    </x:xf>
    <x:xf numFmtId="0" fontId="0" fillId="0" borderId="3" xfId="0" applyBorder="1">
      <x:alignment vertical="center"/>
    </x:xf>
    <x:xf numFmtId="0" fontId="0" fillId="0" borderId="7" xfId="0" applyBorder="1" applyAlignment="1">
      <x:alignment horizontal="left" vertical="center" wrapText="1"/>
    </x:xf>
    <x:xf numFmtId="0" fontId="0" fillId="0" borderId="7" xfId="0" applyBorder="1" applyAlignment="1">
      <x:alignment vertical="center" wrapText="1"/>
    </x:xf>
    <x:xf numFmtId="0" fontId="8" fillId="0" borderId="7" xfId="0" applyFont="1" applyBorder="1" applyAlignment="1">
      <x:alignment vertical="center" wrapText="1"/>
    </x:xf>
    <x:xf numFmtId="0" fontId="0" fillId="0" borderId="8" xfId="0" applyBorder="1" applyAlignment="1">
      <x:alignment vertical="center" wrapText="1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horizontal="left" vertical="center" wrapText="1"/>
    </x:xf>
    <x:xf numFmtId="0" fontId="9" fillId="2" borderId="15" xfId="0" applyNumberFormat="1" applyFont="1" applyFill="1" applyBorder="1" applyAlignment="1">
      <x:alignment horizontal="center" vertical="center"/>
    </x:xf>
    <x:xf numFmtId="0" fontId="9" fillId="2" borderId="16" xfId="0" applyNumberFormat="1" applyFont="1" applyFill="1" applyBorder="1" applyAlignment="1">
      <x:alignment horizontal="center" vertical="center"/>
    </x:xf>
    <x:xf numFmtId="0" fontId="9" fillId="2" borderId="17" xfId="0" applyNumberFormat="1" applyFont="1" applyFill="1" applyBorder="1" applyAlignment="1">
      <x:alignment horizontal="center" vertical="center"/>
    </x:xf>
    <x:xf numFmtId="0" fontId="9" fillId="2" borderId="18" xfId="0" applyNumberFormat="1" applyFont="1" applyFill="1" applyBorder="1" applyAlignment="1">
      <x:alignment horizontal="center" vertical="center"/>
    </x:xf>
    <x:xf numFmtId="0" fontId="9" fillId="2" borderId="19" xfId="0" applyNumberFormat="1" applyFont="1" applyFill="1" applyBorder="1" applyAlignment="1">
      <x:alignment horizontal="center" vertical="center"/>
    </x:xf>
    <x:xf numFmtId="0" fontId="10" fillId="3" borderId="20" xfId="0" applyNumberFormat="1" applyFont="1" applyFill="1" applyBorder="1" applyAlignment="1">
      <x:alignment horizontal="left" vertical="center" wrapText="1"/>
    </x:xf>
    <x:xf numFmtId="0" fontId="10" fillId="3" borderId="21" xfId="0" applyNumberFormat="1" applyFont="1" applyFill="1" applyBorder="1" applyAlignment="1">
      <x:alignment horizontal="left" vertical="center" wrapText="1"/>
    </x:xf>
    <x:xf numFmtId="0" fontId="10" fillId="3" borderId="22" xfId="0" applyNumberFormat="1" applyFont="1" applyFill="1" applyBorder="1" applyAlignment="1">
      <x:alignment horizontal="left" vertical="center" wrapText="1"/>
    </x:xf>
    <x:xf numFmtId="0" fontId="11" fillId="2" borderId="0" xfId="0" applyNumberFormat="1" applyFont="1" applyFill="1" applyBorder="1" applyAlignment="1">
      <x:alignment vertical="center"/>
    </x:xf>
    <x:xf numFmtId="0" fontId="11" fillId="2" borderId="23" xfId="0" applyNumberFormat="1" applyFont="1" applyFill="1" applyBorder="1" applyAlignment="1">
      <x:alignment vertical="center"/>
    </x:xf>
    <x:xf numFmtId="0" fontId="11" fillId="2" borderId="23" xfId="0" applyNumberFormat="1" applyFont="1" applyFill="1" applyBorder="1" applyAlignment="1">
      <x:alignment vertical="center" wrapText="1"/>
    </x:xf>
    <x:xf numFmtId="0" fontId="11" fillId="2" borderId="23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/>
    </x:xf>
    <x:xf numFmtId="0" fontId="12" fillId="0" borderId="24" xfId="0" applyNumberFormat="1" applyFont="1" applyFill="1" applyBorder="1" applyAlignment="1">
      <x:alignment vertical="center"/>
    </x:xf>
    <x:xf numFmtId="0" fontId="12" fillId="0" borderId="25" xfId="0" applyNumberFormat="1" applyFont="1" applyFill="1" applyBorder="1" applyAlignment="1">
      <x:alignment vertical="center"/>
    </x:xf>
    <x:xf numFmtId="0" fontId="12" fillId="0" borderId="26" xfId="0" applyNumberFormat="1" applyFont="1" applyFill="1" applyBorder="1" applyAlignment="1">
      <x:alignment vertical="center"/>
    </x:xf>
    <x:xf numFmtId="0" fontId="12" fillId="0" borderId="27" xfId="0" applyNumberFormat="1" applyFont="1" applyFill="1" applyBorder="1" applyAlignment="1">
      <x:alignment vertical="center"/>
    </x:xf>
    <x:xf numFmtId="0" fontId="12" fillId="0" borderId="28" xfId="0" applyNumberFormat="1" applyFont="1" applyFill="1" applyBorder="1" applyAlignment="1">
      <x:alignment vertical="center"/>
    </x:xf>
    <x:xf numFmtId="0" fontId="12" fillId="0" borderId="29" xfId="0" applyNumberFormat="1" applyFont="1" applyFill="1" applyBorder="1" applyAlignment="1">
      <x:alignment vertical="center"/>
    </x:xf>
    <x:xf numFmtId="0" fontId="12" fillId="0" borderId="30" xfId="0" applyNumberFormat="1" applyFont="1" applyFill="1" applyBorder="1" applyAlignment="1">
      <x:alignment vertical="center"/>
    </x:xf>
    <x:xf numFmtId="0" fontId="12" fillId="0" borderId="31" xfId="0" applyNumberFormat="1" applyFont="1" applyFill="1" applyBorder="1" applyAlignment="1">
      <x:alignment vertical="center"/>
    </x:xf>
    <x:xf numFmtId="0" fontId="12" fillId="0" borderId="32" xfId="0" applyNumberFormat="1" applyFont="1" applyFill="1" applyBorder="1" applyAlignment="1">
      <x:alignment vertical="center"/>
    </x:xf>
    <x:xf numFmtId="0" fontId="12" fillId="0" borderId="24" xfId="0" applyNumberFormat="1" applyFont="1" applyFill="1" applyBorder="1" applyAlignment="1">
      <x:alignment vertical="center" wrapText="1"/>
    </x:xf>
    <x:xf numFmtId="0" fontId="12" fillId="0" borderId="25" xfId="0" applyNumberFormat="1" applyFont="1" applyFill="1" applyBorder="1" applyAlignment="1">
      <x:alignment vertical="center" wrapText="1"/>
    </x:xf>
    <x:xf numFmtId="0" fontId="12" fillId="0" borderId="26" xfId="0" applyNumberFormat="1" applyFont="1" applyFill="1" applyBorder="1" applyAlignment="1">
      <x:alignment vertical="center" wrapText="1"/>
    </x:xf>
    <x:xf numFmtId="0" fontId="12" fillId="0" borderId="27" xfId="0" applyNumberFormat="1" applyFont="1" applyFill="1" applyBorder="1" applyAlignment="1">
      <x:alignment vertical="center" wrapText="1"/>
    </x:xf>
    <x:xf numFmtId="0" fontId="12" fillId="0" borderId="28" xfId="0" applyNumberFormat="1" applyFont="1" applyFill="1" applyBorder="1" applyAlignment="1">
      <x:alignment vertical="center" wrapText="1"/>
    </x:xf>
    <x:xf numFmtId="0" fontId="12" fillId="0" borderId="29" xfId="0" applyNumberFormat="1" applyFont="1" applyFill="1" applyBorder="1" applyAlignment="1">
      <x:alignment vertical="center" wrapText="1"/>
    </x:xf>
    <x:xf numFmtId="0" fontId="12" fillId="0" borderId="30" xfId="0" applyNumberFormat="1" applyFont="1" applyFill="1" applyBorder="1" applyAlignment="1">
      <x:alignment vertical="center" wrapText="1"/>
    </x:xf>
    <x:xf numFmtId="0" fontId="12" fillId="0" borderId="31" xfId="0" applyNumberFormat="1" applyFont="1" applyFill="1" applyBorder="1" applyAlignment="1">
      <x:alignment vertical="center" wrapText="1"/>
    </x:xf>
    <x:xf numFmtId="0" fontId="12" fillId="0" borderId="32" xfId="0" applyNumberFormat="1" applyFont="1" applyFill="1" applyBorder="1" applyAlignment="1">
      <x:alignment vertical="center" wrapText="1"/>
    </x:xf>
    <x:xf numFmtId="0" fontId="12" fillId="0" borderId="24" xfId="0" applyNumberFormat="1" applyFont="1" applyFill="1" applyBorder="1" applyAlignment="1">
      <x:alignment vertical="top" wrapText="1"/>
    </x:xf>
    <x:xf numFmtId="0" fontId="12" fillId="0" borderId="25" xfId="0" applyNumberFormat="1" applyFont="1" applyFill="1" applyBorder="1" applyAlignment="1">
      <x:alignment vertical="top" wrapText="1"/>
    </x:xf>
    <x:xf numFmtId="0" fontId="12" fillId="0" borderId="26" xfId="0" applyNumberFormat="1" applyFont="1" applyFill="1" applyBorder="1" applyAlignment="1">
      <x:alignment vertical="top" wrapText="1"/>
    </x:xf>
    <x:xf numFmtId="0" fontId="12" fillId="0" borderId="27" xfId="0" applyNumberFormat="1" applyFont="1" applyFill="1" applyBorder="1" applyAlignment="1">
      <x:alignment vertical="top" wrapText="1"/>
    </x:xf>
    <x:xf numFmtId="0" fontId="12" fillId="0" borderId="28" xfId="0" applyNumberFormat="1" applyFont="1" applyFill="1" applyBorder="1" applyAlignment="1">
      <x:alignment vertical="top" wrapText="1"/>
    </x:xf>
    <x:xf numFmtId="0" fontId="12" fillId="0" borderId="29" xfId="0" applyNumberFormat="1" applyFont="1" applyFill="1" applyBorder="1" applyAlignment="1">
      <x:alignment vertical="top" wrapText="1"/>
    </x:xf>
    <x:xf numFmtId="0" fontId="12" fillId="0" borderId="30" xfId="0" applyNumberFormat="1" applyFont="1" applyFill="1" applyBorder="1" applyAlignment="1">
      <x:alignment vertical="top" wrapText="1"/>
    </x:xf>
    <x:xf numFmtId="0" fontId="12" fillId="0" borderId="31" xfId="0" applyNumberFormat="1" applyFont="1" applyFill="1" applyBorder="1" applyAlignment="1">
      <x:alignment vertical="top" wrapText="1"/>
    </x:xf>
    <x:xf numFmtId="0" fontId="12" fillId="0" borderId="32" xfId="0" applyNumberFormat="1" applyFont="1" applyFill="1" applyBorder="1" applyAlignment="1">
      <x:alignment vertical="top" wrapText="1"/>
    </x:xf>
    <x:xf numFmtId="0" fontId="13" fillId="0" borderId="24" xfId="0" applyNumberFormat="1" applyFont="1" applyFill="1" applyBorder="1" applyAlignment="1">
      <x:alignment vertical="top" wrapText="1"/>
    </x:xf>
    <x:xf numFmtId="0" fontId="13" fillId="0" borderId="27" xfId="0" applyNumberFormat="1" applyFont="1" applyFill="1" applyBorder="1" applyAlignment="1">
      <x:alignment vertical="top" wrapText="1"/>
    </x:xf>
    <x:xf numFmtId="0" fontId="13" fillId="0" borderId="30" xfId="0" applyNumberFormat="1" applyFont="1" applyFill="1" applyBorder="1" applyAlignment="1">
      <x:alignment vertical="top" wrapText="1"/>
    </x:xf>
    <x:xf numFmtId="0" fontId="13" fillId="0" borderId="25" xfId="0" applyNumberFormat="1" applyFont="1" applyFill="1" applyBorder="1" applyAlignment="1">
      <x:alignment vertical="top" wrapText="1"/>
    </x:xf>
    <x:xf numFmtId="0" fontId="13" fillId="0" borderId="28" xfId="0" applyNumberFormat="1" applyFont="1" applyFill="1" applyBorder="1" applyAlignment="1">
      <x:alignment vertical="top" wrapText="1"/>
    </x:xf>
    <x:xf numFmtId="0" fontId="13" fillId="0" borderId="31" xfId="0" applyNumberFormat="1" applyFont="1" applyFill="1" applyBorder="1" applyAlignment="1">
      <x:alignment vertical="top" wrapText="1"/>
    </x:xf>
    <x:xf numFmtId="0" fontId="12" fillId="0" borderId="25" xfId="0" applyNumberFormat="1" applyFont="1" applyFill="1" applyBorder="1" applyAlignment="1">
      <x:alignment horizontal="center" vertical="top" wrapText="1"/>
    </x:xf>
    <x:xf numFmtId="0" fontId="13" fillId="0" borderId="25" xfId="0" applyNumberFormat="1" applyFont="1" applyFill="1" applyBorder="1" applyAlignment="1">
      <x:alignment horizontal="center" vertical="top" wrapText="1"/>
    </x:xf>
    <x:xf numFmtId="0" fontId="12" fillId="0" borderId="26" xfId="0" applyNumberFormat="1" applyFont="1" applyFill="1" applyBorder="1" applyAlignment="1">
      <x:alignment horizontal="center" vertical="top" wrapText="1"/>
    </x:xf>
    <x:xf numFmtId="0" fontId="12" fillId="0" borderId="28" xfId="0" applyNumberFormat="1" applyFont="1" applyFill="1" applyBorder="1" applyAlignment="1">
      <x:alignment horizontal="center" vertical="top" wrapText="1"/>
    </x:xf>
    <x:xf numFmtId="0" fontId="13" fillId="0" borderId="28" xfId="0" applyNumberFormat="1" applyFont="1" applyFill="1" applyBorder="1" applyAlignment="1">
      <x:alignment horizontal="center" vertical="top" wrapText="1"/>
    </x:xf>
    <x:xf numFmtId="0" fontId="12" fillId="0" borderId="29" xfId="0" applyNumberFormat="1" applyFont="1" applyFill="1" applyBorder="1" applyAlignment="1">
      <x:alignment horizontal="center" vertical="top" wrapText="1"/>
    </x:xf>
    <x:xf numFmtId="0" fontId="12" fillId="0" borderId="31" xfId="0" applyNumberFormat="1" applyFont="1" applyFill="1" applyBorder="1" applyAlignment="1">
      <x:alignment horizontal="center" vertical="top" wrapText="1"/>
    </x:xf>
    <x:xf numFmtId="0" fontId="13" fillId="0" borderId="31" xfId="0" applyNumberFormat="1" applyFont="1" applyFill="1" applyBorder="1" applyAlignment="1">
      <x:alignment horizontal="center" vertical="top" wrapText="1"/>
    </x:xf>
    <x:xf numFmtId="0" fontId="12" fillId="0" borderId="32" xfId="0" applyNumberFormat="1" applyFont="1" applyFill="1" applyBorder="1" applyAlignment="1">
      <x:alignment horizontal="center" vertical="top" wrapText="1"/>
    </x:xf>
    <x:xf numFmtId="0" fontId="12" fillId="4" borderId="29" xfId="0" applyNumberFormat="1" applyFont="1" applyFill="1" applyBorder="1" applyAlignment="1">
      <x:alignment horizontal="center" vertical="top" wrapText="1"/>
    </x:xf>
    <x:xf numFmtId="0" fontId="14" fillId="4" borderId="29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 applyAlignment="1">
      <x:alignment vertical="center"/>
    </x:xf>
    <x:xf numFmtId="0" fontId="12" fillId="6" borderId="24" xfId="0" applyNumberFormat="1" applyFont="1" applyFill="1" applyBorder="1" applyAlignment="1">
      <x:alignment vertical="top" wrapText="1"/>
    </x:xf>
    <x:xf numFmtId="0" fontId="12" fillId="6" borderId="27" xfId="0" applyNumberFormat="1" applyFont="1" applyFill="1" applyBorder="1" applyAlignment="1">
      <x:alignment vertical="top" wrapText="1"/>
    </x:xf>
    <x:xf numFmtId="0" fontId="12" fillId="6" borderId="30" xfId="0" applyNumberFormat="1" applyFont="1" applyFill="1" applyBorder="1" applyAlignment="1">
      <x:alignment vertical="top" wrapText="1"/>
    </x:xf>
    <x:xf numFmtId="0" fontId="16" fillId="6" borderId="24" xfId="0" applyNumberFormat="1" applyFont="1" applyFill="1" applyBorder="1" applyAlignment="1">
      <x:alignment vertical="top" wrapText="1"/>
    </x:xf>
    <x:xf numFmtId="0" fontId="16" fillId="6" borderId="27" xfId="0" applyNumberFormat="1" applyFont="1" applyFill="1" applyBorder="1" applyAlignment="1">
      <x:alignment vertical="top" wrapText="1"/>
    </x:xf>
    <x:xf numFmtId="0" fontId="16" fillId="6" borderId="30" xfId="0" applyNumberFormat="1" applyFont="1" applyFill="1" applyBorder="1" applyAlignment="1">
      <x:alignment vertical="top" wrapText="1"/>
    </x:xf>
    <x:xf numFmtId="0" fontId="12" fillId="0" borderId="24" xfId="0" applyNumberFormat="1" applyFont="1" applyFill="1" applyBorder="1" applyAlignment="1">
      <x:alignment horizontal="center" vertical="top" wrapText="1"/>
    </x:xf>
    <x:xf numFmtId="0" fontId="12" fillId="0" borderId="27" xfId="0" applyNumberFormat="1" applyFont="1" applyFill="1" applyBorder="1" applyAlignment="1">
      <x:alignment horizontal="center" vertical="top" wrapText="1"/>
    </x:xf>
    <x:xf numFmtId="0" fontId="12" fillId="0" borderId="30" xfId="0" applyNumberFormat="1" applyFont="1" applyFill="1" applyBorder="1" applyAlignment="1">
      <x:alignment horizontal="center" vertical="top" wrapText="1"/>
    </x:xf>
    <x:xf numFmtId="0" fontId="12" fillId="0" borderId="23" xfId="0" applyNumberFormat="1" applyFont="1" applyFill="1" applyBorder="1" applyAlignment="1">
      <x:alignment horizontal="center" vertical="top" wrapText="1"/>
    </x:xf>
    <x:xf numFmtId="0" fontId="12" fillId="0" borderId="23" xfId="0" applyNumberFormat="1" applyFont="1" applyFill="1" applyBorder="1" applyAlignment="1">
      <x:alignment vertical="top" wrapText="1"/>
    </x:xf>
    <x:xf numFmtId="200" fontId="12" fillId="0" borderId="25" xfId="0" applyNumberFormat="1" applyFont="1" applyFill="1" applyBorder="1" applyAlignment="1">
      <x:alignment horizontal="center" vertical="top" wrapText="1"/>
    </x:xf>
    <x:xf numFmtId="200" fontId="12" fillId="0" borderId="28" xfId="0" applyNumberFormat="1" applyFont="1" applyFill="1" applyBorder="1" applyAlignment="1">
      <x:alignment horizontal="center" vertical="top" wrapText="1"/>
    </x:xf>
    <x:xf numFmtId="200" fontId="12" fillId="0" borderId="31" xfId="0" applyNumberFormat="1" applyFont="1" applyFill="1" applyBorder="1" applyAlignment="1">
      <x:alignment horizontal="center" vertical="top" wrapText="1"/>
    </x:xf>
    <x:xf numFmtId="0" fontId="15" fillId="5" borderId="33" xfId="0" applyNumberFormat="1" applyFont="1" applyFill="1" applyBorder="1" applyAlignment="1">
      <x:alignment vertical="center"/>
    </x:xf>
    <x:xf numFmtId="0" fontId="15" fillId="5" borderId="33" xfId="0" applyNumberFormat="1" applyFont="1" applyFill="1" applyBorder="1" applyAlignment="1">
      <x:alignment vertical="center" wrapText="1"/>
    </x:xf>
    <x:xf numFmtId="0" fontId="15" fillId="5" borderId="3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left" vertical="center" wrapText="1"/>
    </x:xf>
    <x:xf numFmtId="0" fontId="9" fillId="7" borderId="15" xfId="0" applyNumberFormat="1" applyFont="1" applyFill="1" applyBorder="1" applyAlignment="1">
      <x:alignment horizontal="center" vertical="center"/>
    </x:xf>
    <x:xf numFmtId="0" fontId="9" fillId="7" borderId="16" xfId="0" applyNumberFormat="1" applyFont="1" applyFill="1" applyBorder="1" applyAlignment="1">
      <x:alignment horizontal="center" vertical="center"/>
    </x:xf>
    <x:xf numFmtId="0" fontId="9" fillId="7" borderId="17" xfId="0" applyNumberFormat="1" applyFont="1" applyFill="1" applyBorder="1" applyAlignment="1">
      <x:alignment horizontal="center" vertical="center"/>
    </x:xf>
    <x:xf numFmtId="0" fontId="9" fillId="7" borderId="18" xfId="0" applyNumberFormat="1" applyFont="1" applyFill="1" applyBorder="1" applyAlignment="1">
      <x:alignment horizontal="center" vertical="center"/>
    </x:xf>
    <x:xf numFmtId="0" fontId="9" fillId="7" xfId="0" applyNumberFormat="1" applyFont="1" applyFill="1" applyBorder="0" applyAlignment="1">
      <x:alignment horizontal="center" vertical="center"/>
    </x:xf>
    <x:xf numFmtId="0" fontId="9" fillId="7" borderId="19" xfId="0" applyNumberFormat="1" applyFont="1" applyFill="1" applyBorder="1" applyAlignment="1">
      <x:alignment horizontal="center" vertical="center"/>
    </x:xf>
    <x:xf numFmtId="0" fontId="10" fillId="8" borderId="20" xfId="0" applyNumberFormat="1" applyFont="1" applyFill="1" applyBorder="1" applyAlignment="1">
      <x:alignment horizontal="left" vertical="center" wrapText="1"/>
    </x:xf>
    <x:xf numFmtId="0" fontId="10" fillId="8" borderId="21" xfId="0" applyNumberFormat="1" applyFont="1" applyFill="1" applyBorder="1" applyAlignment="1">
      <x:alignment horizontal="left" vertical="center" wrapText="1"/>
    </x:xf>
    <x:xf numFmtId="0" fontId="10" fillId="8" borderId="22" xfId="0" applyNumberFormat="1" applyFont="1" applyFill="1" applyBorder="1" applyAlignment="1">
      <x:alignment horizontal="left" vertical="center" wrapText="1"/>
    </x:xf>
    <x:xf numFmtId="0" fontId="11" fillId="7" borderId="0" xfId="0" applyNumberFormat="1" applyFont="1" applyFill="1" applyBorder="1" applyAlignment="1">
      <x:alignment vertical="center"/>
    </x:xf>
    <x:xf numFmtId="0" fontId="11" fillId="7" borderId="23" xfId="0" applyNumberFormat="1" applyFont="1" applyFill="1" applyBorder="1" applyAlignment="1">
      <x:alignment vertical="center"/>
    </x:xf>
    <x:xf numFmtId="0" fontId="11" fillId="7" borderId="23" xfId="0" applyNumberFormat="1" applyFont="1" applyFill="1" applyBorder="1" applyAlignment="1">
      <x:alignment vertical="center" wrapText="1"/>
    </x:xf>
    <x:xf numFmtId="0" fontId="11" fillId="7" borderId="23" xfId="0" applyNumberFormat="1" applyFont="1" applyFill="1" applyBorder="1" applyAlignment="1">
      <x:alignment horizontal="center" vertical="center" wrapText="1"/>
    </x:xf>
    <x:xf numFmtId="0" fontId="12" fillId="9" borderId="29" xfId="0" applyNumberFormat="1" applyFont="1" applyFill="1" applyBorder="1" applyAlignment="1">
      <x:alignment horizontal="center" vertical="top" wrapText="1"/>
    </x:xf>
    <x:xf numFmtId="0" fontId="14" fillId="9" borderId="29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/>
    </x:xf>
    <x:xf numFmtId="0" fontId="12" fillId="11" borderId="24" xfId="0" applyNumberFormat="1" applyFont="1" applyFill="1" applyBorder="1" applyAlignment="1">
      <x:alignment vertical="top" wrapText="1"/>
    </x:xf>
    <x:xf numFmtId="0" fontId="12" fillId="11" borderId="27" xfId="0" applyNumberFormat="1" applyFont="1" applyFill="1" applyBorder="1" applyAlignment="1">
      <x:alignment vertical="top" wrapText="1"/>
    </x:xf>
    <x:xf numFmtId="0" fontId="12" fillId="11" borderId="30" xfId="0" applyNumberFormat="1" applyFont="1" applyFill="1" applyBorder="1" applyAlignment="1">
      <x:alignment vertical="top" wrapText="1"/>
    </x:xf>
    <x:xf numFmtId="0" fontId="16" fillId="11" borderId="24" xfId="0" applyNumberFormat="1" applyFont="1" applyFill="1" applyBorder="1" applyAlignment="1">
      <x:alignment vertical="top" wrapText="1"/>
    </x:xf>
    <x:xf numFmtId="0" fontId="16" fillId="11" borderId="27" xfId="0" applyNumberFormat="1" applyFont="1" applyFill="1" applyBorder="1" applyAlignment="1">
      <x:alignment vertical="top" wrapText="1"/>
    </x:xf>
    <x:xf numFmtId="0" fontId="16" fillId="11" borderId="30" xfId="0" applyNumberFormat="1" applyFont="1" applyFill="1" applyBorder="1" applyAlignment="1">
      <x:alignment vertical="top" wrapText="1"/>
    </x:xf>
    <x:xf numFmtId="0" fontId="15" fillId="10" borderId="33" xfId="0" applyNumberFormat="1" applyFont="1" applyFill="1" applyBorder="1" applyAlignment="1">
      <x:alignment vertical="center"/>
    </x:xf>
    <x:xf numFmtId="0" fontId="15" fillId="10" borderId="33" xfId="0" applyNumberFormat="1" applyFont="1" applyFill="1" applyBorder="1" applyAlignment="1">
      <x:alignment vertical="center" wrapText="1"/>
    </x:xf>
    <x:xf numFmtId="0" fontId="15" fillId="10" borderId="3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horizontal="left" vertical="center" wrapText="1"/>
    </x:xf>
    <x:xf numFmtId="0" fontId="9" fillId="12" borderId="15" xfId="0" applyNumberFormat="1" applyFont="1" applyFill="1" applyBorder="1" applyAlignment="1">
      <x:alignment horizontal="center" vertical="center"/>
    </x:xf>
    <x:xf numFmtId="0" fontId="9" fillId="12" borderId="16" xfId="0" applyNumberFormat="1" applyFont="1" applyFill="1" applyBorder="1" applyAlignment="1">
      <x:alignment horizontal="center" vertical="center"/>
    </x:xf>
    <x:xf numFmtId="0" fontId="9" fillId="12" borderId="17" xfId="0" applyNumberFormat="1" applyFont="1" applyFill="1" applyBorder="1" applyAlignment="1">
      <x:alignment horizontal="center" vertical="center"/>
    </x:xf>
    <x:xf numFmtId="0" fontId="9" fillId="12" borderId="18" xfId="0" applyNumberFormat="1" applyFont="1" applyFill="1" applyBorder="1" applyAlignment="1">
      <x:alignment horizontal="center" vertical="center"/>
    </x:xf>
    <x:xf numFmtId="0" fontId="9" fillId="12" xfId="0" applyNumberFormat="1" applyFont="1" applyFill="1" applyBorder="0" applyAlignment="1">
      <x:alignment horizontal="center" vertical="center"/>
    </x:xf>
    <x:xf numFmtId="0" fontId="9" fillId="12" borderId="19" xfId="0" applyNumberFormat="1" applyFont="1" applyFill="1" applyBorder="1" applyAlignment="1">
      <x:alignment horizontal="center" vertical="center"/>
    </x:xf>
    <x:xf numFmtId="0" fontId="10" fillId="13" borderId="20" xfId="0" applyNumberFormat="1" applyFont="1" applyFill="1" applyBorder="1" applyAlignment="1">
      <x:alignment horizontal="left" vertical="center" wrapText="1"/>
    </x:xf>
    <x:xf numFmtId="0" fontId="10" fillId="13" borderId="21" xfId="0" applyNumberFormat="1" applyFont="1" applyFill="1" applyBorder="1" applyAlignment="1">
      <x:alignment horizontal="left" vertical="center" wrapText="1"/>
    </x:xf>
    <x:xf numFmtId="0" fontId="10" fillId="13" borderId="22" xfId="0" applyNumberFormat="1" applyFont="1" applyFill="1" applyBorder="1" applyAlignment="1">
      <x:alignment horizontal="left" vertical="center" wrapText="1"/>
    </x:xf>
    <x:xf numFmtId="0" fontId="11" fillId="12" borderId="0" xfId="0" applyNumberFormat="1" applyFont="1" applyFill="1" applyBorder="1" applyAlignment="1">
      <x:alignment vertical="center"/>
    </x:xf>
    <x:xf numFmtId="0" fontId="11" fillId="12" borderId="23" xfId="0" applyNumberFormat="1" applyFont="1" applyFill="1" applyBorder="1" applyAlignment="1">
      <x:alignment vertical="center"/>
    </x:xf>
    <x:xf numFmtId="0" fontId="11" fillId="12" borderId="23" xfId="0" applyNumberFormat="1" applyFont="1" applyFill="1" applyBorder="1" applyAlignment="1">
      <x:alignment vertical="center" wrapText="1"/>
    </x:xf>
    <x:xf numFmtId="0" fontId="11" fillId="12" borderId="23" xfId="0" applyNumberFormat="1" applyFont="1" applyFill="1" applyBorder="1" applyAlignment="1">
      <x:alignment horizontal="center" vertical="center" wrapText="1"/>
    </x:xf>
    <x:xf numFmtId="0" fontId="12" fillId="14" borderId="29" xfId="0" applyNumberFormat="1" applyFont="1" applyFill="1" applyBorder="1" applyAlignment="1">
      <x:alignment horizontal="center" vertical="top" wrapText="1"/>
    </x:xf>
    <x:xf numFmtId="0" fontId="14" fillId="14" borderId="29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 applyAlignment="1">
      <x:alignment vertical="center"/>
    </x:xf>
    <x:xf numFmtId="0" fontId="15" fillId="15" borderId="0" xfId="0" applyNumberFormat="1" applyFont="1" applyFill="1" applyBorder="1" applyAlignment="1">
      <x:alignment vertical="center"/>
    </x:xf>
    <x:xf numFmtId="0" fontId="12" fillId="16" borderId="24" xfId="0" applyNumberFormat="1" applyFont="1" applyFill="1" applyBorder="1" applyAlignment="1">
      <x:alignment vertical="top" wrapText="1"/>
    </x:xf>
    <x:xf numFmtId="0" fontId="12" fillId="16" borderId="27" xfId="0" applyNumberFormat="1" applyFont="1" applyFill="1" applyBorder="1" applyAlignment="1">
      <x:alignment vertical="top" wrapText="1"/>
    </x:xf>
    <x:xf numFmtId="0" fontId="12" fillId="16" borderId="30" xfId="0" applyNumberFormat="1" applyFont="1" applyFill="1" applyBorder="1" applyAlignment="1">
      <x:alignment vertical="top" wrapText="1"/>
    </x:xf>
    <x:xf numFmtId="0" fontId="16" fillId="16" borderId="24" xfId="0" applyNumberFormat="1" applyFont="1" applyFill="1" applyBorder="1" applyAlignment="1">
      <x:alignment vertical="top" wrapText="1"/>
    </x:xf>
    <x:xf numFmtId="0" fontId="16" fillId="16" borderId="27" xfId="0" applyNumberFormat="1" applyFont="1" applyFill="1" applyBorder="1" applyAlignment="1">
      <x:alignment vertical="top" wrapText="1"/>
    </x:xf>
    <x:xf numFmtId="0" fontId="16" fillId="16" borderId="30" xfId="0" applyNumberFormat="1" applyFont="1" applyFill="1" applyBorder="1" applyAlignment="1">
      <x:alignment vertical="top" wrapText="1"/>
    </x:xf>
    <x:xf numFmtId="0" fontId="15" fillId="15" borderId="33" xfId="0" applyNumberFormat="1" applyFont="1" applyFill="1" applyBorder="1" applyAlignment="1">
      <x:alignment vertical="center"/>
    </x:xf>
    <x:xf numFmtId="0" fontId="15" fillId="15" borderId="33" xfId="0" applyNumberFormat="1" applyFont="1" applyFill="1" applyBorder="1" applyAlignment="1">
      <x:alignment vertical="center" wrapText="1"/>
    </x:xf>
    <x:xf numFmtId="0" fontId="15" fillId="15" borderId="33" xfId="0" applyNumberFormat="1" applyFont="1" applyFill="1" applyBorder="1" applyAlignment="1">
      <x:alignment horizontal="center" vertical="center" wrapText="1"/>
    </x:xf>
    <x:xf numFmtId="201" fontId="12" fillId="0" borderId="31" xfId="0" applyNumberFormat="1" applyFont="1" applyFill="1" applyBorder="1" applyAlignment="1">
      <x:alignment horizontal="center" vertical="top" wrapText="1"/>
    </x:xf>
    <x:xf numFmtId="201" fontId="12" fillId="0" borderId="32" xfId="0" applyNumberFormat="1" applyFont="1" applyFill="1" applyBorder="1" applyAlignment="1">
      <x:alignment horizontal="center" vertical="top" wrapText="1"/>
    </x:xf>
    <x:xf numFmtId="0" fontId="0" fillId="17" borderId="0" xfId="0" applyNumberFormat="1" applyFont="1" applyFill="1" applyBorder="1" applyAlignment="1">
      <x:alignment vertical="center"/>
    </x:xf>
    <x:xf numFmtId="0" fontId="17" fillId="17" borderId="0" xfId="0" applyNumberFormat="1" applyFont="1" applyFill="1" applyBorder="1" applyAlignment="1">
      <x:alignment vertical="center"/>
    </x:xf>
    <x:xf numFmtId="0" fontId="17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 applyAlignment="1">
      <x:alignment vertical="center"/>
    </x:xf>
    <x:xf numFmtId="0" fontId="10" fillId="18" borderId="0" xfId="0" applyNumberFormat="1" applyFont="1" applyFill="1" applyBorder="1" applyAlignment="1">
      <x:alignment vertical="center"/>
    </x:xf>
    <x:xf numFmtId="0" fontId="10" fillId="18" borderId="21" xfId="0" applyNumberFormat="1" applyFont="1" applyFill="1" applyBorder="1" applyAlignment="1">
      <x:alignment vertical="center"/>
    </x:xf>
    <x:xf numFmtId="0" fontId="10" fillId="18" borderId="21" xfId="0" applyNumberFormat="1" applyFont="1" applyFill="1" applyBorder="1" applyAlignment="1">
      <x:alignment vertical="center" wrapText="1"/>
    </x:xf>
    <x:xf numFmtId="0" fontId="18" fillId="17" borderId="0" xfId="0" applyNumberFormat="1" applyFont="1" applyFill="1" applyBorder="1" applyAlignment="1">
      <x:alignment vertical="center"/>
    </x:xf>
    <x:xf numFmtId="0" fontId="18" fillId="17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horizontal="center" vertical="center"/>
    </x:xf>
    <x:xf numFmtId="0" fontId="18" fillId="17" borderId="0" xfId="0" applyNumberFormat="1" applyFont="1" applyFill="1" applyBorder="1" applyAlignment="1">
      <x:alignment vertical="center" wrapText="1"/>
    </x:xf>
    <x:xf numFmtId="0" fontId="18" fillId="17" borderId="0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0" fillId="0" borderId="34" xfId="0" applyNumberFormat="1" applyFont="1" applyFill="1" applyBorder="1" applyAlignment="1">
      <x:alignment vertical="center"/>
    </x:xf>
    <x:xf numFmtId="0" fontId="20" fillId="0" borderId="35" xfId="0" applyNumberFormat="1" applyFont="1" applyFill="1" applyBorder="1" applyAlignment="1">
      <x:alignment vertical="center"/>
    </x:xf>
    <x:xf numFmtId="0" fontId="20" fillId="0" borderId="36" xfId="0" applyNumberFormat="1" applyFont="1" applyFill="1" applyBorder="1" applyAlignment="1">
      <x:alignment vertical="center"/>
    </x:xf>
    <x:xf numFmtId="0" fontId="20" fillId="0" borderId="34" xfId="0" applyNumberFormat="1" applyFont="1" applyFill="1" applyBorder="1" applyAlignment="1">
      <x:alignment vertical="center" wrapText="1"/>
    </x:xf>
    <x:xf numFmtId="0" fontId="20" fillId="0" borderId="35" xfId="0" applyNumberFormat="1" applyFont="1" applyFill="1" applyBorder="1" applyAlignment="1">
      <x:alignment vertical="center" wrapText="1"/>
    </x:xf>
    <x:xf numFmtId="0" fontId="20" fillId="0" borderId="36" xfId="0" applyNumberFormat="1" applyFont="1" applyFill="1" applyBorder="1" applyAlignment="1">
      <x:alignment vertical="center" wrapText="1"/>
    </x:xf>
    <x:xf numFmtId="0" fontId="20" fillId="0" borderId="34" xfId="0" applyNumberFormat="1" applyFont="1" applyFill="1" applyBorder="1" applyAlignment="1">
      <x:alignment vertical="top" wrapText="1"/>
    </x:xf>
    <x:xf numFmtId="0" fontId="20" fillId="0" borderId="35" xfId="0" applyNumberFormat="1" applyFont="1" applyFill="1" applyBorder="1" applyAlignment="1">
      <x:alignment vertical="top" wrapText="1"/>
    </x:xf>
    <x:xf numFmtId="0" fontId="20" fillId="0" borderId="36" xfId="0" applyNumberFormat="1" applyFont="1" applyFill="1" applyBorder="1" applyAlignment="1">
      <x:alignment vertical="top" wrapText="1"/>
    </x:xf>
    <x:xf numFmtId="0" fontId="20" fillId="20" borderId="34" xfId="0" applyNumberFormat="1" applyFont="1" applyFill="1" applyBorder="1" applyAlignment="1">
      <x:alignment vertical="top" wrapText="1"/>
    </x:xf>
    <x:xf numFmtId="0" fontId="20" fillId="20" borderId="35" xfId="0" applyNumberFormat="1" applyFont="1" applyFill="1" applyBorder="1" applyAlignment="1">
      <x:alignment vertical="top" wrapText="1"/>
    </x:xf>
    <x:xf numFmtId="0" fontId="20" fillId="20" borderId="36" xfId="0" applyNumberFormat="1" applyFont="1" applyFill="1" applyBorder="1" applyAlignment="1">
      <x:alignment vertical="top" wrapText="1"/>
    </x:xf>
    <x:xf numFmtId="0" fontId="20" fillId="21" borderId="34" xfId="0" applyNumberFormat="1" applyFont="1" applyFill="1" applyBorder="1" applyAlignment="1">
      <x:alignment vertical="top" wrapText="1"/>
    </x:xf>
    <x:xf numFmtId="0" fontId="20" fillId="21" borderId="35" xfId="0" applyNumberFormat="1" applyFont="1" applyFill="1" applyBorder="1" applyAlignment="1">
      <x:alignment vertical="top" wrapText="1"/>
    </x:xf>
    <x:xf numFmtId="0" fontId="20" fillId="21" borderId="36" xfId="0" applyNumberFormat="1" applyFont="1" applyFill="1" applyBorder="1" applyAlignment="1">
      <x:alignment vertical="top" wrapText="1"/>
    </x:xf>
    <x:xf numFmtId="0" fontId="20" fillId="22" borderId="34" xfId="0" applyNumberFormat="1" applyFont="1" applyFill="1" applyBorder="1" applyAlignment="1">
      <x:alignment vertical="top" wrapText="1"/>
    </x:xf>
    <x:xf numFmtId="0" fontId="20" fillId="22" borderId="35" xfId="0" applyNumberFormat="1" applyFont="1" applyFill="1" applyBorder="1" applyAlignment="1">
      <x:alignment vertical="top" wrapText="1"/>
    </x:xf>
    <x:xf numFmtId="0" fontId="20" fillId="22" borderId="36" xfId="0" applyNumberFormat="1" applyFont="1" applyFill="1" applyBorder="1" applyAlignment="1">
      <x:alignment vertical="top" wrapText="1"/>
    </x:xf>
    <x:xf numFmtId="0" fontId="20" fillId="23" borderId="34" xfId="0" applyNumberFormat="1" applyFont="1" applyFill="1" applyBorder="1" applyAlignment="1">
      <x:alignment vertical="top" wrapText="1"/>
    </x:xf>
    <x:xf numFmtId="0" fontId="20" fillId="23" borderId="35" xfId="0" applyNumberFormat="1" applyFont="1" applyFill="1" applyBorder="1" applyAlignment="1">
      <x:alignment vertical="top" wrapText="1"/>
    </x:xf>
    <x:xf numFmtId="0" fontId="20" fillId="23" borderId="36" xfId="0" applyNumberFormat="1" applyFont="1" applyFill="1" applyBorder="1" applyAlignment="1">
      <x:alignment vertical="top" wrapText="1"/>
    </x:xf>
    <x:xf numFmtId="0" fontId="20" fillId="24" borderId="34" xfId="0" applyNumberFormat="1" applyFont="1" applyFill="1" applyBorder="1" applyAlignment="1">
      <x:alignment vertical="top" wrapText="1"/>
    </x:xf>
    <x:xf numFmtId="0" fontId="20" fillId="24" borderId="35" xfId="0" applyNumberFormat="1" applyFont="1" applyFill="1" applyBorder="1" applyAlignment="1">
      <x:alignment vertical="top" wrapText="1"/>
    </x:xf>
    <x:xf numFmtId="0" fontId="20" fillId="24" borderId="36" xfId="0" applyNumberFormat="1" applyFont="1" applyFill="1" applyBorder="1" applyAlignment="1">
      <x:alignment vertical="top" wrapText="1"/>
    </x:xf>
    <x:xf numFmtId="202" fontId="20" fillId="20" borderId="34" xfId="0" applyNumberFormat="1" applyFont="1" applyFill="1" applyBorder="1" applyAlignment="1">
      <x:alignment vertical="top" wrapText="1"/>
    </x:xf>
    <x:xf numFmtId="202" fontId="20" fillId="0" borderId="35" xfId="0" applyNumberFormat="1" applyFont="1" applyFill="1" applyBorder="1" applyAlignment="1">
      <x:alignment vertical="top" wrapText="1"/>
    </x:xf>
    <x:xf numFmtId="202" fontId="20" fillId="20" borderId="35" xfId="0" applyNumberFormat="1" applyFont="1" applyFill="1" applyBorder="1" applyAlignment="1">
      <x:alignment vertical="top" wrapText="1"/>
    </x:xf>
    <x:xf numFmtId="202" fontId="20" fillId="20" borderId="36" xfId="0" applyNumberFormat="1" applyFont="1" applyFill="1" applyBorder="1" applyAlignment="1">
      <x:alignment vertical="top" wrapText="1"/>
    </x:xf>
    <x:xf numFmtId="202" fontId="20" fillId="20" borderId="34" xfId="0" applyNumberFormat="1" applyFont="1" applyFill="1" applyBorder="1" applyAlignment="1">
      <x:alignment horizontal="center" vertical="top" wrapText="1"/>
    </x:xf>
    <x:xf numFmtId="0" fontId="20" fillId="20" borderId="34" xfId="0" applyNumberFormat="1" applyFont="1" applyFill="1" applyBorder="1" applyAlignment="1">
      <x:alignment horizontal="center" vertical="top" wrapText="1"/>
    </x:xf>
    <x:xf numFmtId="0" fontId="20" fillId="21" borderId="34" xfId="0" applyNumberFormat="1" applyFont="1" applyFill="1" applyBorder="1" applyAlignment="1">
      <x:alignment horizontal="center" vertical="top" wrapText="1"/>
    </x:xf>
    <x:xf numFmtId="202" fontId="20" fillId="0" borderId="35" xfId="0" applyNumberFormat="1" applyFont="1" applyFill="1" applyBorder="1" applyAlignment="1">
      <x:alignment horizontal="center" vertical="top" wrapText="1"/>
    </x:xf>
    <x:xf numFmtId="0" fontId="20" fillId="0" borderId="35" xfId="0" applyNumberFormat="1" applyFont="1" applyFill="1" applyBorder="1" applyAlignment="1">
      <x:alignment horizontal="center" vertical="top" wrapText="1"/>
    </x:xf>
    <x:xf numFmtId="0" fontId="20" fillId="21" borderId="35" xfId="0" applyNumberFormat="1" applyFont="1" applyFill="1" applyBorder="1" applyAlignment="1">
      <x:alignment horizontal="center" vertical="top" wrapText="1"/>
    </x:xf>
    <x:xf numFmtId="202" fontId="20" fillId="20" borderId="35" xfId="0" applyNumberFormat="1" applyFont="1" applyFill="1" applyBorder="1" applyAlignment="1">
      <x:alignment horizontal="center" vertical="top" wrapText="1"/>
    </x:xf>
    <x:xf numFmtId="0" fontId="20" fillId="20" borderId="35" xfId="0" applyNumberFormat="1" applyFont="1" applyFill="1" applyBorder="1" applyAlignment="1">
      <x:alignment horizontal="center" vertical="top" wrapText="1"/>
    </x:xf>
    <x:xf numFmtId="202" fontId="20" fillId="20" borderId="36" xfId="0" applyNumberFormat="1" applyFont="1" applyFill="1" applyBorder="1" applyAlignment="1">
      <x:alignment horizontal="center" vertical="top" wrapText="1"/>
    </x:xf>
    <x:xf numFmtId="0" fontId="20" fillId="20" borderId="36" xfId="0" applyNumberFormat="1" applyFont="1" applyFill="1" applyBorder="1" applyAlignment="1">
      <x:alignment horizontal="center" vertical="top" wrapText="1"/>
    </x:xf>
    <x:xf numFmtId="0" fontId="20" fillId="21" borderId="36" xfId="0" applyNumberFormat="1" applyFont="1" applyFill="1" applyBorder="1" applyAlignment="1">
      <x:alignment horizontal="center" vertical="top" wrapText="1"/>
    </x:xf>
    <x:xf numFmtId="0" fontId="20" fillId="22" borderId="34" xfId="0" applyNumberFormat="1" applyFont="1" applyFill="1" applyBorder="1" applyAlignment="1">
      <x:alignment horizontal="center" vertical="top" wrapText="1"/>
    </x:xf>
    <x:xf numFmtId="0" fontId="20" fillId="23" borderId="34" xfId="0" applyNumberFormat="1" applyFont="1" applyFill="1" applyBorder="1" applyAlignment="1">
      <x:alignment horizontal="center" vertical="top" wrapText="1"/>
    </x:xf>
    <x:xf numFmtId="0" fontId="20" fillId="24" borderId="34" xfId="0" applyNumberFormat="1" applyFont="1" applyFill="1" applyBorder="1" applyAlignment="1">
      <x:alignment horizontal="center" vertical="top" wrapText="1"/>
    </x:xf>
    <x:xf numFmtId="0" fontId="20" fillId="22" borderId="35" xfId="0" applyNumberFormat="1" applyFont="1" applyFill="1" applyBorder="1" applyAlignment="1">
      <x:alignment horizontal="center" vertical="top" wrapText="1"/>
    </x:xf>
    <x:xf numFmtId="0" fontId="20" fillId="23" borderId="35" xfId="0" applyNumberFormat="1" applyFont="1" applyFill="1" applyBorder="1" applyAlignment="1">
      <x:alignment horizontal="center" vertical="top" wrapText="1"/>
    </x:xf>
    <x:xf numFmtId="0" fontId="20" fillId="24" borderId="35" xfId="0" applyNumberFormat="1" applyFont="1" applyFill="1" applyBorder="1" applyAlignment="1">
      <x:alignment horizontal="center" vertical="top" wrapText="1"/>
    </x:xf>
    <x:xf numFmtId="0" fontId="20" fillId="22" borderId="36" xfId="0" applyNumberFormat="1" applyFont="1" applyFill="1" applyBorder="1" applyAlignment="1">
      <x:alignment horizontal="center" vertical="top" wrapText="1"/>
    </x:xf>
    <x:xf numFmtId="0" fontId="20" fillId="23" borderId="36" xfId="0" applyNumberFormat="1" applyFont="1" applyFill="1" applyBorder="1" applyAlignment="1">
      <x:alignment horizontal="center" vertical="top" wrapText="1"/>
    </x:xf>
    <x:xf numFmtId="0" fontId="20" fillId="24" borderId="36" xfId="0" applyNumberFormat="1" applyFont="1" applyFill="1" applyBorder="1" applyAlignment="1">
      <x:alignment horizontal="center" vertical="top" wrapText="1"/>
    </x:xf>
    <x:xf numFmtId="0" fontId="20" fillId="0" borderId="24" xfId="0" applyNumberFormat="1" applyFont="1" applyFill="1" applyBorder="1" applyAlignment="1">
      <x:alignment horizontal="center" vertical="top" wrapText="1"/>
    </x:xf>
    <x:xf numFmtId="0" fontId="20" fillId="0" borderId="25" xfId="0" applyNumberFormat="1" applyFont="1" applyFill="1" applyBorder="1" applyAlignment="1">
      <x:alignment horizontal="center" vertical="top" wrapText="1"/>
    </x:xf>
    <x:xf numFmtId="0" fontId="20" fillId="0" borderId="25" xfId="0" applyNumberFormat="1" applyFont="1" applyFill="1" applyBorder="1" applyAlignment="1">
      <x:alignment vertical="top" wrapText="1"/>
    </x:xf>
    <x:xf numFmtId="0" fontId="20" fillId="0" borderId="26" xfId="0" applyNumberFormat="1" applyFont="1" applyFill="1" applyBorder="1" applyAlignment="1">
      <x:alignment vertical="top" wrapText="1"/>
    </x:xf>
    <x:xf numFmtId="0" fontId="20" fillId="0" borderId="27" xfId="0" applyNumberFormat="1" applyFont="1" applyFill="1" applyBorder="1" applyAlignment="1">
      <x:alignment horizontal="center" vertical="top" wrapText="1"/>
    </x:xf>
    <x:xf numFmtId="0" fontId="20" fillId="0" borderId="28" xfId="0" applyNumberFormat="1" applyFont="1" applyFill="1" applyBorder="1" applyAlignment="1">
      <x:alignment horizontal="center" vertical="top" wrapText="1"/>
    </x:xf>
    <x:xf numFmtId="0" fontId="20" fillId="0" borderId="28" xfId="0" applyNumberFormat="1" applyFont="1" applyFill="1" applyBorder="1" applyAlignment="1">
      <x:alignment vertical="top" wrapText="1"/>
    </x:xf>
    <x:xf numFmtId="0" fontId="20" fillId="0" borderId="29" xfId="0" applyNumberFormat="1" applyFont="1" applyFill="1" applyBorder="1" applyAlignment="1">
      <x:alignment vertical="top" wrapText="1"/>
    </x:xf>
    <x:xf numFmtId="0" fontId="20" fillId="0" borderId="30" xfId="0" applyNumberFormat="1" applyFont="1" applyFill="1" applyBorder="1" applyAlignment="1">
      <x:alignment horizontal="center" vertical="top" wrapText="1"/>
    </x:xf>
    <x:xf numFmtId="0" fontId="20" fillId="0" borderId="31" xfId="0" applyNumberFormat="1" applyFont="1" applyFill="1" applyBorder="1" applyAlignment="1">
      <x:alignment horizontal="center" vertical="top" wrapText="1"/>
    </x:xf>
    <x:xf numFmtId="0" fontId="20" fillId="0" borderId="31" xfId="0" applyNumberFormat="1" applyFont="1" applyFill="1" applyBorder="1" applyAlignment="1">
      <x:alignment vertical="top" wrapText="1"/>
    </x:xf>
    <x:xf numFmtId="0" fontId="20" fillId="0" borderId="32" xfId="0" applyNumberFormat="1" applyFont="1" applyFill="1" applyBorder="1" applyAlignment="1">
      <x:alignment vertical="top" wrapText="1"/>
    </x:xf>
    <x:xf numFmtId="0" fontId="20" fillId="0" borderId="37" xfId="0" applyNumberFormat="1" applyFont="1" applyFill="1" applyBorder="1" applyAlignment="1">
      <x:alignment horizontal="center" vertical="top" wrapText="1"/>
    </x:xf>
    <x:xf numFmtId="0" fontId="20" fillId="0" borderId="34" xfId="0" applyNumberFormat="1" applyFont="1" applyFill="1" applyBorder="1" applyAlignment="1">
      <x:alignment horizontal="center" vertical="top" wrapText="1"/>
    </x:xf>
    <x:xf numFmtId="0" fontId="20" fillId="0" borderId="38" xfId="0" applyNumberFormat="1" applyFont="1" applyFill="1" applyBorder="1" applyAlignment="1">
      <x:alignment vertical="top" wrapText="1"/>
    </x:xf>
    <x:xf numFmtId="0" fontId="20" fillId="0" borderId="39" xfId="0" applyNumberFormat="1" applyFont="1" applyFill="1" applyBorder="1" applyAlignment="1">
      <x:alignment horizontal="center" vertical="top" wrapText="1"/>
    </x:xf>
    <x:xf numFmtId="0" fontId="20" fillId="0" borderId="40" xfId="0" applyNumberFormat="1" applyFont="1" applyFill="1" applyBorder="1" applyAlignment="1">
      <x:alignment vertical="top" wrapText="1"/>
    </x:xf>
    <x:xf numFmtId="0" fontId="20" fillId="0" borderId="39" xfId="0" applyNumberFormat="1" applyFont="1" applyFill="1" applyBorder="1" applyAlignment="1">
      <x:alignment vertical="center"/>
    </x:xf>
    <x:xf numFmtId="0" fontId="20" fillId="0" borderId="41" xfId="0" applyNumberFormat="1" applyFont="1" applyFill="1" applyBorder="1" applyAlignment="1">
      <x:alignment vertical="center"/>
    </x:xf>
    <x:xf numFmtId="0" fontId="20" fillId="0" borderId="42" xfId="0" applyNumberFormat="1" applyFont="1" applyFill="1" applyBorder="1" applyAlignment="1">
      <x:alignment vertical="center"/>
    </x:xf>
    <x:xf numFmtId="0" fontId="20" fillId="0" borderId="39" xfId="0" applyNumberFormat="1" applyFont="1" applyFill="1" applyBorder="1" applyAlignment="1">
      <x:alignment vertical="center" wrapText="1"/>
    </x:xf>
    <x:xf numFmtId="0" fontId="20" fillId="0" borderId="41" xfId="0" applyNumberFormat="1" applyFont="1" applyFill="1" applyBorder="1" applyAlignment="1">
      <x:alignment vertical="center" wrapText="1"/>
    </x:xf>
    <x:xf numFmtId="0" fontId="20" fillId="0" borderId="42" xfId="0" applyNumberFormat="1" applyFont="1" applyFill="1" applyBorder="1" applyAlignment="1">
      <x:alignment vertical="center" wrapText="1"/>
    </x:xf>
    <x:xf numFmtId="0" fontId="20" fillId="0" borderId="39" xfId="0" applyNumberFormat="1" applyFont="1" applyFill="1" applyBorder="1" applyAlignment="1">
      <x:alignment vertical="top" wrapText="1"/>
    </x:xf>
    <x:xf numFmtId="0" fontId="20" fillId="0" borderId="41" xfId="0" applyNumberFormat="1" applyFont="1" applyFill="1" applyBorder="1" applyAlignment="1">
      <x:alignment vertical="top" wrapText="1"/>
    </x:xf>
    <x:xf numFmtId="0" fontId="20" fillId="0" borderId="42" xfId="0" applyNumberFormat="1" applyFont="1" applyFill="1" applyBorder="1" applyAlignment="1">
      <x:alignment vertical="top" wrapText="1"/>
    </x:xf>
    <x:xf numFmtId="0" fontId="20" fillId="20" borderId="37" xfId="0" applyNumberFormat="1" applyFont="1" applyFill="1" applyBorder="1" applyAlignment="1">
      <x:alignment horizontal="center" vertical="top" wrapText="1"/>
    </x:xf>
    <x:xf numFmtId="0" fontId="20" fillId="20" borderId="38" xfId="0" applyNumberFormat="1" applyFont="1" applyFill="1" applyBorder="1" applyAlignment="1">
      <x:alignment vertical="top" wrapText="1"/>
    </x:xf>
    <x:xf numFmtId="0" fontId="20" fillId="25" borderId="39" xfId="0" applyNumberFormat="1" applyFont="1" applyFill="1" applyBorder="1" applyAlignment="1">
      <x:alignment horizontal="center" vertical="top" wrapText="1"/>
    </x:xf>
    <x:xf numFmtId="0" fontId="20" fillId="25" borderId="35" xfId="0" applyNumberFormat="1" applyFont="1" applyFill="1" applyBorder="1" applyAlignment="1">
      <x:alignment horizontal="center" vertical="top" wrapText="1"/>
    </x:xf>
    <x:xf numFmtId="0" fontId="20" fillId="25" borderId="35" xfId="0" applyNumberFormat="1" applyFont="1" applyFill="1" applyBorder="1" applyAlignment="1">
      <x:alignment vertical="top" wrapText="1"/>
    </x:xf>
    <x:xf numFmtId="0" fontId="20" fillId="25" borderId="40" xfId="0" applyNumberFormat="1" applyFont="1" applyFill="1" applyBorder="1" applyAlignment="1">
      <x:alignment vertical="top" wrapText="1"/>
    </x:xf>
    <x:xf numFmtId="0" fontId="20" fillId="20" borderId="39" xfId="0" applyNumberFormat="1" applyFont="1" applyFill="1" applyBorder="1" applyAlignment="1">
      <x:alignment horizontal="center" vertical="top" wrapText="1"/>
    </x:xf>
    <x:xf numFmtId="0" fontId="20" fillId="20" borderId="40" xfId="0" applyNumberFormat="1" applyFont="1" applyFill="1" applyBorder="1" applyAlignment="1">
      <x:alignment vertical="top" wrapText="1"/>
    </x:xf>
    <x:xf numFmtId="0" fontId="20" fillId="25" borderId="39" xfId="0" applyNumberFormat="1" applyFont="1" applyFill="1" applyBorder="1" applyAlignment="1">
      <x:alignment vertical="top" wrapText="1"/>
    </x:xf>
    <x:xf numFmtId="0" fontId="20" fillId="20" borderId="39" xfId="0" applyNumberFormat="1" applyFont="1" applyFill="1" applyBorder="1" applyAlignment="1">
      <x:alignment vertical="top" wrapText="1"/>
    </x:xf>
    <x:xf numFmtId="0" fontId="20" fillId="25" borderId="41" xfId="0" applyNumberFormat="1" applyFont="1" applyFill="1" applyBorder="1" applyAlignment="1">
      <x:alignment vertical="top" wrapText="1"/>
    </x:xf>
    <x:xf numFmtId="0" fontId="20" fillId="25" borderId="42" xfId="0" applyNumberFormat="1" applyFont="1" applyFill="1" applyBorder="1" applyAlignment="1">
      <x:alignment vertical="top" wrapText="1"/>
    </x:xf>
    <x:xf numFmtId="0" fontId="20" fillId="19" borderId="35" xfId="0" applyNumberFormat="1" applyFont="1" applyFill="1" applyBorder="1" applyAlignment="1">
      <x:alignment horizontal="center" vertical="top" wrapText="1"/>
    </x:xf>
    <x:xf numFmtId="0" fontId="20" fillId="26" borderId="35" xfId="0" applyNumberFormat="1" applyFont="1" applyFill="1" applyBorder="1" applyAlignment="1">
      <x:alignment horizontal="center" vertical="top" wrapText="1"/>
    </x:xf>
    <x:xf numFmtId="0" fontId="20" fillId="26" borderId="35" xfId="0" applyNumberFormat="1" applyFont="1" applyFill="1" applyBorder="1" applyAlignment="1">
      <x:alignment vertical="top" wrapText="1"/>
    </x:xf>
    <x:xf numFmtId="0" fontId="20" fillId="26" borderId="42" xfId="0" applyNumberFormat="1" applyFont="1" applyFill="1" applyBorder="1" applyAlignment="1">
      <x:alignment vertical="top" wrapText="1"/>
    </x:xf>
  </x:cellXfs>
  <x:cellStyles count="1">
    <x:cellStyle name="표준" xfId="0"/>
  </x:cellStyles>
  <x:dxfs count="41"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2F641C"/>
      </x:font>
      <x:fill>
        <x:patternFill>
          <x:bgColor rgb="FFE2F0D9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84870001a4d88" /><Relationship Type="http://schemas.openxmlformats.org/officeDocument/2006/relationships/theme" Target="/xl/theme/theme1.xml" Id="R9f3c9aa8791341d6" /><Relationship Type="http://schemas.openxmlformats.org/officeDocument/2006/relationships/sharedStrings" Target="/xl/sharedStrings.xml" Id="R6c68a466aba94d31" /><Relationship Type="http://schemas.openxmlformats.org/officeDocument/2006/relationships/worksheet" Target="/xl/worksheets/sheet1.xml" Id="R5da6019f0f3e42ae" /><Relationship Type="http://schemas.openxmlformats.org/officeDocument/2006/relationships/worksheet" Target="/xl/worksheets/sheet2.xml" Id="R7f69d423267647b9" /><Relationship Type="http://schemas.openxmlformats.org/officeDocument/2006/relationships/worksheet" Target="/xl/worksheets/sheet3.xml" Id="Raf622179f01f4e01" /><Relationship Type="http://schemas.openxmlformats.org/officeDocument/2006/relationships/worksheet" Target="/xl/worksheets/sheet4.xml" Id="R579d5d44de6f4643" /><Relationship Type="http://schemas.openxmlformats.org/officeDocument/2006/relationships/worksheet" Target="/xl/worksheets/sheet5.xml" Id="Rc279a36daaf84377" /><Relationship Type="http://schemas.openxmlformats.org/officeDocument/2006/relationships/worksheet" Target="/xl/worksheets/sheet6.xml" Id="R205e2af4102549b7" /></Relationships>
</file>

<file path=xl/tables/table1.xml><?xml version="1.0" encoding="utf-8"?>
<x:table xmlns:x="http://schemas.openxmlformats.org/spreadsheetml/2006/main" id="1" name="ComponentInventoryTable" displayName="ComponentInventoryTable" ref="A5:T60" headerRowCount="1" totalsRowCount="0" totalsRowShown="0">
  <x:tableColumns count="20">
    <x:tableColumn id="1" name="No."/>
    <x:tableColumn id="2" name="대분류"/>
    <x:tableColumn id="3" name="중분류"/>
    <x:tableColumn id="4" name="컴포넌트"/>
    <x:tableColumn id="5" name="Variant/상태"/>
    <x:tableColumn id="6" name="Size"/>
    <x:tableColumn id="7" name="높이"/>
    <x:tableColumn id="8" name="Padding"/>
    <x:tableColumn id="9" name="Gap"/>
    <x:tableColumn id="10" name="Typography"/>
    <x:tableColumn id="11" name="Radius"/>
    <x:tableColumn id="12" name="아이콘 Y/N"/>
    <x:tableColumn id="13" name="공통화"/>
    <x:tableColumn id="14" name="사용 범위"/>
    <x:tableColumn id="15" name="코드 연결"/>
    <x:tableColumn id="16" name="런타임/데이터 계약"/>
    <x:tableColumn id="17" name="현재 사용 화면"/>
    <x:tableColumn id="18" name="정적 상태"/>
    <x:tableColumn id="19" name="우선순위"/>
    <x:tableColumn id="20" name="점검 포인트/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AuditTable" displayName="ProjectAuditTable" ref="A5:L26" headerRowCount="1" totalsRowCount="0" totalsRowShown="0">
  <x:tableColumns count="12">
    <x:tableColumn id="1" name="No."/>
    <x:tableColumn id="2" name="점검 범위"/>
    <x:tableColumn id="3" name="대상"/>
    <x:tableColumn id="4" name="재사용 구분"/>
    <x:tableColumn id="5" name="확인 파일"/>
    <x:tableColumn id="6" name="현재 상태"/>
    <x:tableColumn id="7" name="근거/관찰"/>
    <x:tableColumn id="8" name="위험도"/>
    <x:tableColumn id="9" name="본 점검 항목"/>
    <x:tableColumn id="10" name="완료 기준"/>
    <x:tableColumn id="11" name="계획일"/>
    <x:tableColumn id="12" name="예상시간(h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eduleTable" displayName="ScheduleTable" ref="A5:I16" headerRowCount="1" totalsRowCount="0" totalsRowShown="0">
  <x:tableColumns count="9">
    <x:tableColumn id="1" name="No."/>
    <x:tableColumn id="2" name="일차"/>
    <x:tableColumn id="3" name="누적 시간"/>
    <x:tableColumn id="4" name="업무"/>
    <x:tableColumn id="5" name="상세 범위"/>
    <x:tableColumn id="6" name="단계 산출물"/>
    <x:tableColumn id="7" name="예상시간(h)"/>
    <x:tableColumn id="8" name="상태"/>
    <x:tableColumn id="9" name="완료 조건/주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liverablesTable" displayName="DeliverablesTable" ref="A5:J14" headerRowCount="1" totalsRowCount="0" totalsRowShown="0">
  <x:tableColumns count="10">
    <x:tableColumn id="1" name="No."/>
    <x:tableColumn id="2" name="구분"/>
    <x:tableColumn id="3" name="정확한 경로"/>
    <x:tableColumn id="4" name="시트/형태"/>
    <x:tableColumn id="5" name="내용"/>
    <x:tableColumn id="6" name="완료 기준"/>
    <x:tableColumn id="7" name="완료 시점"/>
    <x:tableColumn id="8" name="상태"/>
    <x:tableColumn id="9" name="3.5일 포함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4d4ba01c4e42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d1aa506e9143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8891ac808b4a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006584bb3047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2" max="2" width="30" hidden="0" customWidth="1"/>
    <x:col min="3" max="3" width="18" hidden="0" customWidth="1"/>
    <x:col min="4" max="4" width="18" hidden="0" customWidth="1"/>
    <x:col min="6" max="6" width="25" hidden="0" customWidth="1"/>
    <x:col min="9" max="9" width="21.375" customWidth="1"/>
    <x:col min="15" max="15" width="10.375" customWidth="1"/>
    <x:col min="16" max="16" width="9.625" customWidth="1"/>
    <x:col min="1" max="1" width="18" hidden="0" customWidth="1"/>
    <x:col min="5" max="5" width="18" hidden="0" customWidth="1"/>
    <x:col min="7" max="7" width="18" hidden="0" customWidth="1"/>
    <x:col min="8" max="8" width="25" hidden="0" customWidth="1"/>
  </x:cols>
  <x:sheetData>
    <x:row r="1" ht="28" customHeight="1">
      <x:c r="A1" s="161" t="str">
        <x:v>공통 컴포넌트 정리 및 3.5일 점검 계획</x:v>
      </x:c>
      <x:c r="B1" s="162"/>
      <x:c r="C1" s="162"/>
      <x:c r="D1" s="162"/>
      <x:c r="E1" s="162"/>
      <x:c r="F1" s="162"/>
      <x:c r="G1" s="162"/>
      <x:c r="H1" s="163"/>
    </x:row>
    <x:row r="2" ht="28" customHeight="1">
      <x:c r="A2" s="164"/>
      <x:c r="B2" s="165"/>
      <x:c r="C2" s="165"/>
      <x:c r="D2" s="165"/>
      <x:c r="E2" s="165"/>
      <x:c r="F2" s="165"/>
      <x:c r="G2" s="165"/>
      <x:c r="H2" s="166"/>
    </x:row>
    <x:row r="3" ht="32" customHeight="1">
      <x:c r="A3" s="167" t="str">
        <x:v>기준일 2026-08-19 · 마감 8월 31일 · 기존 AI-ONE은 참조 전용 · local-common-ui/에서 HTML/CSS/JS 공통 UI 정리 · Figma-코드 규격 매핑 기반 · 원격 반영 없음</x:v>
      </x:c>
      <x:c r="B3" s="168"/>
      <x:c r="C3" s="168"/>
      <x:c r="D3" s="168"/>
      <x:c r="E3" s="168"/>
      <x:c r="F3" s="168"/>
      <x:c r="G3" s="168"/>
      <x:c r="H3" s="169"/>
      <x:c r="I3"/>
      <x:c r="J3"/>
      <x:c r="K3"/>
      <x:c r="L3"/>
      <x:c r="M3"/>
      <x:c r="N3"/>
      <x:c r="O3"/>
      <x:c r="P3"/>
    </x:row>
    <x:row r="4"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 ht="36" customHeight="1">
      <x:c r="A5" s="173" t="str">
        <x:v>구분</x:v>
      </x:c>
      <x:c r="B5" s="173" t="str">
        <x:v>값</x:v>
      </x:c>
      <x:c r="C5" s="173" t="str">
        <x:v>구분</x:v>
      </x:c>
      <x:c r="D5" s="173" t="str">
        <x:v>값</x:v>
      </x:c>
      <x:c r="E5" s="173" t="str">
        <x:v>구분</x:v>
      </x:c>
      <x:c r="F5" s="173" t="str">
        <x:v>값</x:v>
      </x:c>
      <x:c r="G5" s="173" t="str">
        <x:v>판정</x:v>
      </x:c>
      <x:c r="H5" s="173" t="str">
        <x:v>값</x:v>
      </x:c>
      <x:c r="I5"/>
      <x:c r="J5"/>
      <x:c r="K5"/>
      <x:c r="L5"/>
      <x:c r="M5"/>
      <x:c r="N5"/>
      <x:c r="O5"/>
      <x:c r="P5"/>
    </x:row>
    <x:row r="6" ht="34" customHeight="1">
      <x:c r="A6" s="85" t="str">
        <x:v>총 컴포넌트</x:v>
      </x:c>
      <x:c r="B6" s="91" t="n">
        <x:f>COUNTA('컴포넌트 목록'!A6:A60)</x:f>
        <x:v>55</x:v>
      </x:c>
      <x:c r="C6" s="92" t="str">
        <x:v>전 프로젝트 공용</x:v>
      </x:c>
      <x:c r="D6" s="91" t="n">
        <x:f>COUNTIF('컴포넌트 목록'!N6:N60,"전 프로젝트 공용")</x:f>
        <x:v>33</x:v>
      </x:c>
      <x:c r="E6" s="92" t="str">
        <x:v>AI 서비스 공용</x:v>
      </x:c>
      <x:c r="F6" s="91" t="n">
        <x:f>COUNTIF('컴포넌트 목록'!N6:N60,"AI 서비스 공용")</x:f>
        <x:v>8</x:v>
      </x:c>
      <x:c r="G6" s="92" t="str">
        <x:v>AI-ONE 전용</x:v>
      </x:c>
      <x:c r="H6" s="93" t="n">
        <x:f>COUNTIF('컴포넌트 목록'!N6:N60,"AI-ONE 전용")</x:f>
        <x:v>14</x:v>
      </x:c>
      <x:c r="I6"/>
      <x:c r="J6"/>
      <x:c r="K6"/>
      <x:c r="L6"/>
      <x:c r="M6"/>
      <x:c r="N6"/>
      <x:c r="O6"/>
      <x:c r="P6"/>
    </x:row>
    <x:row r="7" ht="34" customHeight="1">
      <x:c r="A7" s="86" t="str">
        <x:v>계획 작업시간</x:v>
      </x:c>
      <x:c r="B7" s="94" t="n">
        <x:f>'3.5일 일정'!G17</x:f>
        <x:v>28</x:v>
      </x:c>
      <x:c r="C7" s="95" t="str">
        <x:v>가용시간</x:v>
      </x:c>
      <x:c r="D7" s="94" t="n">
        <x:v>28</x:v>
      </x:c>
      <x:c r="E7" s="95" t="str">
        <x:v>사용자 최종 점검</x:v>
      </x:c>
      <x:c r="F7" s="94" t="str">
        <x:v>1일 별도</x:v>
      </x:c>
      <x:c r="G7" s="95" t="str">
        <x:v>3.5일 가능 여부</x:v>
      </x:c>
      <x:c r="H7" s="175" t="str">
        <x:f>IF(B7=D7,"조건부 가능","시간 재산정")</x:f>
        <x:v>조건부 가능</x:v>
      </x:c>
      <x:c r="J7"/>
      <x:c r="K7"/>
      <x:c r="L7"/>
      <x:c r="M7"/>
      <x:c r="N7"/>
      <x:c r="O7"/>
      <x:c r="P7"/>
    </x:row>
    <x:row r="8" ht="34" customHeight="1">
      <x:c r="A8" s="87" t="str">
        <x:v>기존 코드 변경</x:v>
      </x:c>
      <x:c r="B8" s="187" t="n">
        <x:v>0</x:v>
      </x:c>
      <x:c r="C8" s="98" t="str">
        <x:v>독립 작업 경로</x:v>
      </x:c>
      <x:c r="D8" s="97" t="str">
        <x:v>local-common-ui/</x:v>
      </x:c>
      <x:c r="E8" s="98" t="str">
        <x:v>Figma 원본</x:v>
      </x:c>
      <x:c r="F8" s="97" t="str">
        <x:v>링크/Node ID 필요</x:v>
      </x:c>
      <x:c r="G8" s="98" t="str">
        <x:v>원격 반영</x:v>
      </x:c>
      <x:c r="H8" s="188" t="n">
        <x:v>0</x:v>
      </x:c>
      <x:c r="K8"/>
      <x:c r="L8"/>
      <x:c r="M8"/>
      <x:c r="N8"/>
      <x:c r="O8"/>
      <x:c r="P8"/>
    </x:row>
    <x:row r="9" ht="17.25">
      <x:c r="B9"/>
      <x:c r="D9"/>
      <x:c r="F9"/>
      <x:c r="L9"/>
      <x:c r="M9"/>
      <x:c r="N9"/>
      <x:c r="P9"/>
    </x:row>
    <x:row r="10" ht="33">
      <x:c r="A10" s="177" t="str">
        <x:v>가능 범위와 전제</x:v>
      </x:c>
      <x:c r="B10" s="177"/>
      <x:c r="C10" s="177"/>
      <x:c r="D10" s="177"/>
      <x:c r="E10" s="177"/>
      <x:c r="F10" s="177"/>
      <x:c r="G10" s="177"/>
      <x:c r="H10" s="177"/>
      <x:c r="I10"/>
      <x:c r="J10"/>
      <x:c r="K10"/>
      <x:c r="L10"/>
      <x:c r="M10"/>
      <x:c r="N10"/>
      <x:c r="O10"/>
      <x:c r="P10"/>
    </x:row>
    <x:row r="11" ht="40" customHeight="1">
      <x:c r="A11" s="181" t="str">
        <x:v>포함</x:v>
      </x:c>
      <x:c r="B11" s="77" t="str">
        <x:v>현재 UI 55개 목록·규격 확정, Figma-코드 매핑표, 중복/유사 후보 분석, 공용성 3단계 구분, local-common-ui/의 1차 공통 UI 카탈로그·샘플 구현</x:v>
      </x:c>
      <x:c r="C11" s="77"/>
      <x:c r="D11" s="77"/>
      <x:c r="E11" s="77"/>
      <x:c r="F11" s="77"/>
      <x:c r="G11" s="77"/>
      <x:c r="H11" s="78"/>
      <x:c r="J11"/>
      <x:c r="L11"/>
      <x:c r="M11"/>
      <x:c r="N11"/>
      <x:c r="O11"/>
      <x:c r="P11"/>
    </x:row>
    <x:row r="12" ht="40" customHeight="1">
      <x:c r="A12" s="182" t="str">
        <x:v>미수행</x:v>
      </x:c>
      <x:c r="B12" s="80" t="str">
        <x:v>기존 pages/·css/·js/·assets/ 변경 또는 교체, 기존 화면의 공통 컴포넌트 참조 전환, 원격 반영, React·백엔드/API 전환</x:v>
      </x:c>
      <x:c r="C12" s="80"/>
      <x:c r="D12" s="80"/>
      <x:c r="E12" s="80"/>
      <x:c r="F12" s="80"/>
      <x:c r="G12" s="80"/>
      <x:c r="H12" s="81"/>
      <x:c r="I12"/>
      <x:c r="J12"/>
      <x:c r="K12"/>
      <x:c r="L12"/>
      <x:c r="M12"/>
      <x:c r="N12"/>
      <x:c r="O12"/>
      <x:c r="P12"/>
    </x:row>
    <x:row r="13" ht="40" customHeight="1">
      <x:c r="A13" s="182" t="str">
        <x:v>판정</x:v>
      </x:c>
      <x:c r="B13" s="80" t="str">
        <x:v>별도 로컬 영역에서 규격 기반과 우선 컴포넌트 샘플을 만드는 범위는 28시간 내 조건부 가능. 55개 전부 구현과 Figma 원본 일치 확정은 별도</x:v>
      </x:c>
      <x:c r="C13" s="80"/>
      <x:c r="D13" s="80"/>
      <x:c r="E13" s="80"/>
      <x:c r="F13" s="80"/>
      <x:c r="G13" s="80"/>
      <x:c r="H13" s="81"/>
      <x:c r="I13"/>
      <x:c r="J13"/>
      <x:c r="K13"/>
      <x:c r="L13"/>
      <x:c r="M13"/>
      <x:c r="N13"/>
      <x:c r="O13"/>
      <x:c r="P13"/>
    </x:row>
    <x:row r="14" ht="40" customHeight="1">
      <x:c r="A14" s="182" t="str">
        <x:v>초기 근거</x:v>
      </x:c>
      <x:c r="B14" s="80" t="str">
        <x:v>현재 코드 기준 55개 항목의 Variant·Size·높이·Padding·Gap·Typography·Radius·코드 연결·사용 화면 1차 매핑 완료</x:v>
      </x:c>
      <x:c r="C14" s="80"/>
      <x:c r="D14" s="80"/>
      <x:c r="E14" s="80"/>
      <x:c r="F14" s="80"/>
      <x:c r="G14" s="80"/>
      <x:c r="H14" s="81"/>
      <x:c r="P14"/>
    </x:row>
    <x:row r="15" ht="40" customHeight="1">
      <x:c r="A15" s="182" t="str">
        <x:v>초기 리스크</x:v>
      </x:c>
      <x:c r="B15" s="80" t="str">
        <x:v>Figma 파일 링크/Node ID/컴포넌트 Property 정보가 없어 현재는 코드 기준 제안 규격만 작성 가능. 실제 동일성 판정은 Figma 원본 확인 후 확정</x:v>
      </x:c>
      <x:c r="C15" s="80"/>
      <x:c r="D15" s="80"/>
      <x:c r="E15" s="80"/>
      <x:c r="F15" s="80"/>
      <x:c r="G15" s="80"/>
      <x:c r="H15" s="81"/>
      <x:c r="P15"/>
    </x:row>
    <x:row r="16" ht="40" customHeight="1">
      <x:c r="A16" s="183" t="str">
        <x:v>무영향 원칙</x:v>
      </x:c>
      <x:c r="B16" s="83" t="str">
        <x:v>기존 AI-ONE 자산은 읽기 전용 기준선으로 사용. 결과물은 local-common-ui/에만 생성하고 pages/css/js/assets 변경 0건과 원격 반영 0건을 인수 조건으로 기록</x:v>
      </x:c>
      <x:c r="C16" s="83"/>
      <x:c r="D16" s="83"/>
      <x:c r="E16" s="83"/>
      <x:c r="F16" s="83"/>
      <x:c r="G16" s="83"/>
      <x:c r="H16" s="84"/>
      <x:c r="P16"/>
    </x:row>
    <x:row r="17" ht="33">
      <x:c r="B17"/>
      <x:c r="D17"/>
      <x:c r="P17"/>
    </x:row>
    <x:row r="18" ht="17.25">
      <x:c r="A18" s="177" t="str">
        <x:v>재사용 구분 기준</x:v>
      </x:c>
      <x:c r="B18" s="177"/>
      <x:c r="C18" s="177"/>
      <x:c r="D18" s="177"/>
      <x:c r="E18" s="177"/>
      <x:c r="F18" s="177"/>
      <x:c r="G18" s="177"/>
      <x:c r="H18" s="177"/>
      <x:c r="I18"/>
      <x:c r="J18"/>
      <x:c r="K18"/>
      <x:c r="L18"/>
      <x:c r="M18"/>
      <x:c r="N18"/>
      <x:c r="O18"/>
      <x:c r="P18"/>
    </x:row>
    <x:row r="19" ht="42" customHeight="1">
      <x:c r="A19" s="85" t="str">
        <x:v>전 프로젝트 공용</x:v>
      </x:c>
      <x:c r="B19" s="77" t="str">
        <x:v>업무 도메인과 무관하게 재사용 가능한 기반·폼·액션·레이어·데이터 표시</x:v>
      </x:c>
      <x:c r="C19" s="77"/>
      <x:c r="D19" s="77"/>
      <x:c r="E19" s="88" t="str">
        <x:v>독립 구현 원칙</x:v>
      </x:c>
      <x:c r="F19" s="77" t="str">
        <x:v>local-common-ui/에서 우선 구현하고 기존 AI-ONE에는 연결하지 않음</x:v>
      </x:c>
      <x:c r="G19" s="77"/>
      <x:c r="H19" s="78"/>
      <x:c r="P19"/>
    </x:row>
    <x:row r="20" ht="42" customHeight="1">
      <x:c r="A20" s="86" t="str">
        <x:v>AI 서비스 공용</x:v>
      </x:c>
      <x:c r="B20" s="80" t="str">
        <x:v>챗/프롬프트/문서/근거 UI처럼 AI 서비스군에서 반복 가능한 조합형 컴포넌트</x:v>
      </x:c>
      <x:c r="C20" s="80"/>
      <x:c r="D20" s="80"/>
      <x:c r="E20" s="89" t="str">
        <x:v>매핑 원칙</x:v>
      </x:c>
      <x:c r="F20" s="80" t="str">
        <x:v>Figma 이름·Property와 코드 Variant·API·data-*를 1:1 표로 관리</x:v>
      </x:c>
      <x:c r="G20" s="80"/>
      <x:c r="H20" s="81"/>
      <x:c r="P20"/>
    </x:row>
    <x:row r="21" ht="42" customHeight="1">
      <x:c r="A21" s="87" t="str">
        <x:v>AI-ONE 전용</x:v>
      </x:c>
      <x:c r="B21" s="83" t="str">
        <x:v>질의분류·답변서·실국 알림 등 현재 업무/브랜드 전용 UI</x:v>
      </x:c>
      <x:c r="C21" s="83"/>
      <x:c r="D21" s="83"/>
      <x:c r="E21" s="90" t="str">
        <x:v>관리 원칙</x:v>
      </x:c>
      <x:c r="F21" s="83" t="str">
        <x:v>기존 페이지에 유지하고 공통 primitive 후보만 별도 영역에서 재현</x:v>
      </x:c>
      <x:c r="G21" s="83"/>
      <x:c r="H21" s="84"/>
      <x:c r="P21"/>
    </x:row>
    <x:row r="22">
      <x:c r="B22"/>
      <x:c r="D22"/>
      <x:c r="P22"/>
    </x:row>
    <x:row r="23">
      <x:c r="B23"/>
      <x:c r="D23"/>
      <x:c r="P23"/>
    </x:row>
    <x:row r="24">
      <x:c r="B24"/>
      <x:c r="D24"/>
      <x:c r="P24"/>
    </x:row>
    <x:row r="25">
      <x:c r="B25"/>
      <x:c r="D25"/>
      <x:c r="P25"/>
    </x:row>
    <x:row r="26">
      <x:c r="B26"/>
      <x:c r="D26"/>
      <x:c r="P26"/>
    </x:row>
    <x:row r="27">
      <x:c r="B27"/>
      <x:c r="D27"/>
      <x:c r="P27"/>
    </x:row>
    <x:row r="28">
      <x:c r="B28"/>
      <x:c r="D28"/>
      <x:c r="P28"/>
    </x:row>
    <x:row r="29">
      <x:c r="B29"/>
      <x:c r="D29"/>
      <x:c r="P29"/>
    </x:row>
    <x:row r="30">
      <x:c r="B30"/>
      <x:c r="D30"/>
      <x:c r="P30"/>
    </x:row>
    <x:row r="31">
      <x:c r="B31"/>
      <x:c r="P31"/>
    </x:row>
    <x:row r="32" ht="17.25"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B3:P4"/>
    <x:mergeCell ref="A1:H2"/>
    <x:mergeCell ref="A3:H3"/>
    <x:mergeCell ref="A10:H10"/>
    <x:mergeCell ref="B11:H11"/>
    <x:mergeCell ref="B12:H12"/>
    <x:mergeCell ref="B13:H13"/>
    <x:mergeCell ref="B14:H14"/>
    <x:mergeCell ref="B15:H15"/>
    <x:mergeCell ref="B16:H16"/>
    <x:mergeCell ref="A18:H18"/>
    <x:mergeCell ref="B19:D19"/>
    <x:mergeCell ref="F19:H19"/>
    <x:mergeCell ref="B20:D20"/>
    <x:mergeCell ref="F20:H20"/>
    <x:mergeCell ref="B21:D21"/>
    <x:mergeCell ref="F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5" hidden="0" customWidth="1"/>
    <x:col min="3" max="3" width="16" hidden="0" customWidth="1"/>
    <x:col min="4" max="4" width="24" hidden="0" customWidth="1"/>
    <x:col min="5" max="5" width="34" hidden="0" customWidth="1"/>
    <x:col min="6" max="6" width="16" hidden="0" customWidth="1"/>
    <x:col min="7" max="7" width="16" hidden="0" customWidth="1"/>
    <x:col min="8" max="8" width="22" hidden="0" customWidth="1"/>
    <x:col min="9" max="9" width="12" hidden="0" customWidth="1"/>
    <x:col min="10" max="10" width="22" hidden="0" customWidth="1"/>
    <x:col min="11" max="11" width="14" hidden="0" customWidth="1"/>
    <x:col min="12" max="12" width="10" hidden="0" customWidth="1"/>
    <x:col min="13" max="13" width="12" hidden="0" customWidth="1"/>
    <x:col min="14" max="14" width="18" hidden="0" customWidth="1"/>
    <x:col min="15" max="15" width="34" hidden="0" customWidth="1"/>
    <x:col min="16" max="16" width="34" hidden="0" customWidth="1"/>
    <x:col min="17" max="17" width="28" hidden="0" customWidth="1"/>
    <x:col min="18" max="18" width="24" hidden="0" customWidth="1"/>
    <x:col min="19" max="19" width="10" hidden="0" customWidth="1"/>
    <x:col min="20" max="20" width="45" hidden="0" customWidth="1"/>
  </x:cols>
  <x:sheetData>
    <x:row r="1" ht="28" customHeight="1">
      <x:c r="A1" s="161" t="str">
        <x:v>공통 컴포넌트 목록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3"/>
    </x:row>
    <x:row r="2" ht="28" customHeight="1">
      <x:c r="A2" s="164"/>
      <x:c r="B2" s="165"/>
      <x:c r="C2" s="165"/>
      <x:c r="D2" s="165"/>
      <x:c r="E2" s="165"/>
      <x:c r="F2" s="165"/>
      <x:c r="G2" s="165"/>
      <x:c r="H2" s="165"/>
      <x:c r="I2" s="165"/>
      <x:c r="J2" s="165"/>
      <x:c r="K2" s="165"/>
      <x:c r="L2" s="165"/>
      <x:c r="M2" s="165"/>
      <x:c r="N2" s="165"/>
      <x:c r="O2" s="165"/>
      <x:c r="P2" s="165"/>
      <x:c r="Q2" s="165"/>
      <x:c r="R2" s="165"/>
      <x:c r="S2" s="165"/>
      <x:c r="T2" s="166"/>
    </x:row>
    <x:row r="3" ht="32" customHeight="1">
      <x:c r="A3" s="167" t="str">
        <x:v>현재 AI-ONE 코드 기준 55개 항목 · 규격/코드/사용처는 현행 분석값 · 공통 UI 구현은 local-common-ui/에서만 진행 · Figma 실제 일치 여부는 별도 매핑 시트에서 관리</x:v>
      </x:c>
      <x:c r="B3" s="168"/>
      <x:c r="C3" s="168"/>
      <x:c r="D3" s="168"/>
      <x:c r="E3" s="168"/>
      <x:c r="F3" s="168"/>
      <x:c r="G3" s="168"/>
      <x:c r="H3" s="168"/>
      <x:c r="I3" s="168"/>
      <x:c r="J3" s="168"/>
      <x:c r="K3" s="168"/>
      <x:c r="L3" s="168"/>
      <x:c r="M3" s="168"/>
      <x:c r="N3" s="168"/>
      <x:c r="O3" s="168"/>
      <x:c r="P3" s="168"/>
      <x:c r="Q3" s="168"/>
      <x:c r="R3" s="168"/>
      <x:c r="S3" s="168"/>
      <x:c r="T3" s="169"/>
    </x:row>
    <x:row r="5" ht="36" customHeight="1">
      <x:c r="A5" s="173" t="str">
        <x:v>No.</x:v>
      </x:c>
      <x:c r="B5" s="173" t="str">
        <x:v>대분류</x:v>
      </x:c>
      <x:c r="C5" s="173" t="str">
        <x:v>중분류</x:v>
      </x:c>
      <x:c r="D5" s="173" t="str">
        <x:v>컴포넌트</x:v>
      </x:c>
      <x:c r="E5" s="173" t="str">
        <x:v>Variant/상태</x:v>
      </x:c>
      <x:c r="F5" s="173" t="str">
        <x:v>Size</x:v>
      </x:c>
      <x:c r="G5" s="173" t="str">
        <x:v>높이</x:v>
      </x:c>
      <x:c r="H5" s="173" t="str">
        <x:v>Padding</x:v>
      </x:c>
      <x:c r="I5" s="173" t="str">
        <x:v>Gap</x:v>
      </x:c>
      <x:c r="J5" s="173" t="str">
        <x:v>Typography</x:v>
      </x:c>
      <x:c r="K5" s="173" t="str">
        <x:v>Radius</x:v>
      </x:c>
      <x:c r="L5" s="173" t="str">
        <x:v>아이콘 Y/N</x:v>
      </x:c>
      <x:c r="M5" s="173" t="str">
        <x:v>공통화</x:v>
      </x:c>
      <x:c r="N5" s="173" t="str">
        <x:v>사용 범위</x:v>
      </x:c>
      <x:c r="O5" s="173" t="str">
        <x:v>코드 연결</x:v>
      </x:c>
      <x:c r="P5" s="173" t="str">
        <x:v>런타임/데이터 계약</x:v>
      </x:c>
      <x:c r="Q5" s="173" t="str">
        <x:v>현재 사용 화면</x:v>
      </x:c>
      <x:c r="R5" s="173" t="str">
        <x:v>정적 상태</x:v>
      </x:c>
      <x:c r="S5" s="173" t="str">
        <x:v>우선순위</x:v>
      </x:c>
      <x:c r="T5" s="173" t="str">
        <x:v>점검 포인트/비고</x:v>
      </x:c>
    </x:row>
    <x:row r="6" ht="54" customHeight="1">
      <x:c r="A6" s="113" t="n">
        <x:v>1</x:v>
      </x:c>
      <x:c r="B6" s="114" t="str">
        <x:v>기반</x:v>
      </x:c>
      <x:c r="C6" s="114" t="str">
        <x:v>디자인 시스템</x:v>
      </x:c>
      <x:c r="D6" s="114" t="str">
        <x:v>디자인 토큰/테마</x:v>
      </x:c>
      <x:c r="E6" s="114" t="str">
        <x:v>light · dark · accent 7종</x:v>
      </x:c>
      <x:c r="F6" s="114" t="str">
        <x:v>전역</x:v>
      </x:c>
      <x:c r="G6" s="114" t="str">
        <x:v>-</x:v>
      </x:c>
      <x:c r="H6" s="114" t="str">
        <x:v>-</x:v>
      </x:c>
      <x:c r="I6" s="114" t="str">
        <x:v>-</x:v>
      </x:c>
      <x:c r="J6" s="114" t="str">
        <x:v>Pretendard Variable · 배율 토큰</x:v>
      </x:c>
      <x:c r="K6" s="114" t="str">
        <x:v>6/10/12/14px</x:v>
      </x:c>
      <x:c r="L6" s="113" t="str">
        <x:v>N</x:v>
      </x:c>
      <x:c r="M6" s="113" t="str">
        <x:v>완료</x:v>
      </x:c>
      <x:c r="N6" s="113" t="str">
        <x:v>전 프로젝트 공용</x:v>
      </x:c>
      <x:c r="O6" s="114" t="str">
        <x:v>css/ai-theme.css · js/ai-theme.js · css/common.css :root</x:v>
      </x:c>
      <x:c r="P6" s="114" t="str">
        <x:v>data-theme · data-accent-*</x:v>
      </x:c>
      <x:c r="Q6" s="114" t="str">
        <x:v>전체 6화면</x:v>
      </x:c>
      <x:c r="R6" s="114" t="str">
        <x:v>정의·로딩 순서 확인</x:v>
      </x:c>
      <x:c r="S6" s="113" t="str">
        <x:v>P0</x:v>
      </x:c>
      <x:c r="T6" s="114" t="str">
        <x:v>토큰 누락·하드코딩 색·다크 테마 대비 점검</x:v>
      </x:c>
    </x:row>
    <x:row r="7" ht="54" customHeight="1">
      <x:c r="A7" s="113" t="n">
        <x:v>2</x:v>
      </x:c>
      <x:c r="B7" s="114" t="str">
        <x:v>기반</x:v>
      </x:c>
      <x:c r="C7" s="114" t="str">
        <x:v>접근성</x:v>
      </x:c>
      <x:c r="D7" s="114" t="str">
        <x:v>접근성 유틸리티</x:v>
      </x:c>
      <x:c r="E7" s="114" t="str">
        <x:v>hidden · sr-only · visually-hidden · reduced-motion</x:v>
      </x:c>
      <x:c r="F7" s="114" t="str">
        <x:v>전역</x:v>
      </x:c>
      <x:c r="G7" s="114" t="str">
        <x:v>-</x:v>
      </x:c>
      <x:c r="H7" s="114" t="str">
        <x:v>-</x:v>
      </x:c>
      <x:c r="I7" s="114" t="str">
        <x:v>-</x:v>
      </x:c>
      <x:c r="J7" s="114" t="str">
        <x:v>상속</x:v>
      </x:c>
      <x:c r="K7" s="114" t="str">
        <x:v>-</x:v>
      </x:c>
      <x:c r="L7" s="113" t="str">
        <x:v>N</x:v>
      </x:c>
      <x:c r="M7" s="113" t="str">
        <x:v>완료</x:v>
      </x:c>
      <x:c r="N7" s="113" t="str">
        <x:v>전 프로젝트 공용</x:v>
      </x:c>
      <x:c r="O7" s="114" t="str">
        <x:v>css/common.css: Accessibility Utility</x:v>
      </x:c>
      <x:c r="P7" s="114" t="str">
        <x:v>ARIA · focus-visible · prefers-reduced-motion</x:v>
      </x:c>
      <x:c r="Q7" s="114" t="str">
        <x:v>전체 6화면</x:v>
      </x:c>
      <x:c r="R7" s="114" t="str">
        <x:v>공통 정의 확인</x:v>
      </x:c>
      <x:c r="S7" s="113" t="str">
        <x:v>P0</x:v>
      </x:c>
      <x:c r="T7" s="114" t="str">
        <x:v>키보드 이동·포커스 복귀·스크린리더 이름은 브라우저 점검 필요</x:v>
      </x:c>
    </x:row>
    <x:row r="8" ht="54" customHeight="1">
      <x:c r="A8" s="113" t="n">
        <x:v>3</x:v>
      </x:c>
      <x:c r="B8" s="114" t="str">
        <x:v>레이아웃</x:v>
      </x:c>
      <x:c r="C8" s="114" t="str">
        <x:v>앱 프레임</x:v>
      </x:c>
      <x:c r="D8" s="114" t="str">
        <x:v>앱 레이아웃</x:v>
      </x:c>
      <x:c r="E8" s="114" t="str">
        <x:v>default · sidebar collapsed · responsive</x:v>
      </x:c>
      <x:c r="F8" s="114" t="str">
        <x:v>min 320px</x:v>
      </x:c>
      <x:c r="G8" s="114" t="str">
        <x:v>100vh</x:v>
      </x:c>
      <x:c r="H8" s="114" t="str">
        <x:v>-</x:v>
      </x:c>
      <x:c r="I8" s="114" t="str">
        <x:v>-</x:v>
      </x:c>
      <x:c r="J8" s="114" t="str">
        <x:v>상속</x:v>
      </x:c>
      <x:c r="K8" s="114" t="str">
        <x:v>-</x:v>
      </x:c>
      <x:c r="L8" s="113" t="str">
        <x:v>N</x:v>
      </x:c>
      <x:c r="M8" s="113" t="str">
        <x:v>완료</x:v>
      </x:c>
      <x:c r="N8" s="113" t="str">
        <x:v>전 프로젝트 공용</x:v>
      </x:c>
      <x:c r="O8" s="114" t="str">
        <x:v>.app · .main-wrap · .three-panel</x:v>
      </x:c>
      <x:c r="P8" s="114" t="str">
        <x:v>sidebar sibling state</x:v>
      </x:c>
      <x:c r="Q8" s="114" t="str">
        <x:v>로그인 제외 5화면</x:v>
      </x:c>
      <x:c r="R8" s="114" t="str">
        <x:v>정적 사용 확인</x:v>
      </x:c>
      <x:c r="S8" s="113" t="str">
        <x:v>P0</x:v>
      </x:c>
      <x:c r="T8" s="114" t="str">
        <x:v>320/768/1024/1440px overflow 및 축소 상태 점검</x:v>
      </x:c>
    </x:row>
    <x:row r="9" ht="54" customHeight="1">
      <x:c r="A9" s="113" t="n">
        <x:v>4</x:v>
      </x:c>
      <x:c r="B9" s="114" t="str">
        <x:v>피드백</x:v>
      </x:c>
      <x:c r="C9" s="114" t="str">
        <x:v>로딩</x:v>
      </x:c>
      <x:c r="D9" s="114" t="str">
        <x:v>API 로딩 스켈레톤</x:v>
      </x:c>
      <x:c r="E9" s="114" t="str">
        <x:v>line · circle · card · overlay</x:v>
      </x:c>
      <x:c r="F9" s="114" t="str">
        <x:v>유동</x:v>
      </x:c>
      <x:c r="G9" s="114" t="str">
        <x:v>콘텐츠 종속</x:v>
      </x:c>
      <x:c r="H9" s="114" t="str">
        <x:v>컴포넌트별</x:v>
      </x:c>
      <x:c r="I9" s="114" t="str">
        <x:v>8~12px</x:v>
      </x:c>
      <x:c r="J9" s="114" t="str">
        <x:v>상속</x:v>
      </x:c>
      <x:c r="K9" s="114" t="str">
        <x:v>6~12px</x:v>
      </x:c>
      <x:c r="L9" s="113" t="str">
        <x:v>N</x:v>
      </x:c>
      <x:c r="M9" s="113" t="str">
        <x:v>부분</x:v>
      </x:c>
      <x:c r="N9" s="113" t="str">
        <x:v>전 프로젝트 공용</x:v>
      </x:c>
      <x:c r="O9" s="114" t="str">
        <x:v>.api-skeleton-overlay · .ai-skeleton · .skeleton-*</x:v>
      </x:c>
      <x:c r="P9" s="114" t="str">
        <x:v>런타임 생성 가능</x:v>
      </x:c>
      <x:c r="Q9" s="114" t="str">
        <x:v>정적 HTML 인스턴스 없음</x:v>
      </x:c>
      <x:c r="R9" s="114" t="str">
        <x:v>공통 CSS만 확인</x:v>
      </x:c>
      <x:c r="S9" s="113" t="str">
        <x:v>P2</x:v>
      </x:c>
      <x:c r="T9" s="114" t="str">
        <x:v>실제 생성 경로·대체 텍스트·로딩 종료 상태 확인</x:v>
      </x:c>
    </x:row>
    <x:row r="10" ht="54" customHeight="1">
      <x:c r="A10" s="113" t="n">
        <x:v>5</x:v>
      </x:c>
      <x:c r="B10" s="114" t="str">
        <x:v>폼</x:v>
      </x:c>
      <x:c r="C10" s="114" t="str">
        <x:v>필드 구조</x:v>
      </x:c>
      <x:c r="D10" s="114" t="str">
        <x:v>필드/폼 컨트롤</x:v>
      </x:c>
      <x:c r="E10" s="114" t="str">
        <x:v>default · required · error · success · help/count</x:v>
      </x:c>
      <x:c r="F10" s="114" t="str">
        <x:v>100%/유동</x:v>
      </x:c>
      <x:c r="G10" s="114" t="str">
        <x:v>컨트롤 종속</x:v>
      </x:c>
      <x:c r="H10" s="114" t="str">
        <x:v>label 6px · group 16px</x:v>
      </x:c>
      <x:c r="I10" s="114" t="str">
        <x:v>row 12px</x:v>
      </x:c>
      <x:c r="J10" s="114" t="str">
        <x:v>label/help 12px</x:v>
      </x:c>
      <x:c r="K10" s="114" t="str">
        <x:v>-</x:v>
      </x:c>
      <x:c r="L10" s="113" t="str">
        <x:v>N</x:v>
      </x:c>
      <x:c r="M10" s="113" t="str">
        <x:v>완료</x:v>
      </x:c>
      <x:c r="N10" s="113" t="str">
        <x:v>전 프로젝트 공용</x:v>
      </x:c>
      <x:c r="O10" s="114" t="str">
        <x:v>.field · .form-row · .form-group</x:v>
      </x:c>
      <x:c r="P10" s="114" t="str">
        <x:v>상태 클래스 is-error/is-success</x:v>
      </x:c>
      <x:c r="Q10" s="114" t="str">
        <x:v>워크스페이스 · 로그인</x:v>
      </x:c>
      <x:c r="R10" s="114" t="str">
        <x:v>정적 사용 확인</x:v>
      </x:c>
      <x:c r="S10" s="113" t="str">
        <x:v>P0</x:v>
      </x:c>
      <x:c r="T10" s="114" t="str">
        <x:v>label-for·오류 메시지 연결·모바일 세로 전환</x:v>
      </x:c>
    </x:row>
    <x:row r="11" ht="54" customHeight="1">
      <x:c r="A11" s="113" t="n">
        <x:v>6</x:v>
      </x:c>
      <x:c r="B11" s="114" t="str">
        <x:v>데이터 표시</x:v>
      </x:c>
      <x:c r="C11" s="114" t="str">
        <x:v>상태</x:v>
      </x:c>
      <x:c r="D11" s="114" t="str">
        <x:v>배지</x:v>
      </x:c>
      <x:c r="E11" s="114" t="str">
        <x:v>type1 · blue/green/yellow/purple/red/gray · error icon</x:v>
      </x:c>
      <x:c r="F11" s="114" t="str">
        <x:v>콘텐츠 폭</x:v>
      </x:c>
      <x:c r="G11" s="114" t="str">
        <x:v>자동</x:v>
      </x:c>
      <x:c r="H11" s="114" t="str">
        <x:v>2~3px 8~10px</x:v>
      </x:c>
      <x:c r="I11" s="114" t="str">
        <x:v>4px</x:v>
      </x:c>
      <x:c r="J11" s="114" t="str">
        <x:v>10px/600</x:v>
      </x:c>
      <x:c r="K11" s="114" t="str">
        <x:v>14px</x:v>
      </x:c>
      <x:c r="L11" s="113" t="str">
        <x:v>Y</x:v>
      </x:c>
      <x:c r="M11" s="113" t="str">
        <x:v>완료</x:v>
      </x:c>
      <x:c r="N11" s="113" t="str">
        <x:v>전 프로젝트 공용</x:v>
      </x:c>
      <x:c r="O11" s="114" t="str">
        <x:v>.badge · .status-badge</x:v>
      </x:c>
      <x:c r="P11" s="114" t="str">
        <x:v>data-status-icon</x:v>
      </x:c>
      <x:c r="Q11" s="114" t="str">
        <x:v>답변 2화면 · 홈 · 워크스페이스</x:v>
      </x:c>
      <x:c r="R11" s="114" t="str">
        <x:v>정적 사용 확인</x:v>
      </x:c>
      <x:c r="S11" s="113" t="str">
        <x:v>P1</x:v>
      </x:c>
      <x:c r="T11" s="114" t="str">
        <x:v>색상 외 텍스트 의미·대비·긴 라벨 잘림</x:v>
      </x:c>
    </x:row>
    <x:row r="12" ht="54" customHeight="1">
      <x:c r="A12" s="113" t="n">
        <x:v>7</x:v>
      </x:c>
      <x:c r="B12" s="114" t="str">
        <x:v>기반</x:v>
      </x:c>
      <x:c r="C12" s="114" t="str">
        <x:v>아이콘</x:v>
      </x:c>
      <x:c r="D12" s="114" t="str">
        <x:v>아이콘</x:v>
      </x:c>
      <x:c r="E12" s="114" t="str">
        <x:v>asset img · inline SVG · 14/16/20px</x:v>
      </x:c>
      <x:c r="F12" s="114" t="str">
        <x:v>14~20px</x:v>
      </x:c>
      <x:c r="G12" s="114" t="str">
        <x:v>14~20px</x:v>
      </x:c>
      <x:c r="H12" s="114" t="str">
        <x:v>0</x:v>
      </x:c>
      <x:c r="I12" s="114" t="str">
        <x:v>-</x:v>
      </x:c>
      <x:c r="J12" s="114" t="str">
        <x:v>-</x:v>
      </x:c>
      <x:c r="K12" s="114" t="str">
        <x:v>-</x:v>
      </x:c>
      <x:c r="L12" s="113" t="str">
        <x:v>Y</x:v>
      </x:c>
      <x:c r="M12" s="113" t="str">
        <x:v>완료</x:v>
      </x:c>
      <x:c r="N12" s="113" t="str">
        <x:v>전 프로젝트 공용</x:v>
      </x:c>
      <x:c r="O12" s="114" t="str">
        <x:v>.icon · .icon-small · [data-icon]</x:v>
      </x:c>
      <x:c r="P12" s="114" t="str">
        <x:v>data-icon + 테마 filter</x:v>
      </x:c>
      <x:c r="Q12" s="114" t="str">
        <x:v>로그인 제외 5화면</x:v>
      </x:c>
      <x:c r="R12" s="114" t="str">
        <x:v>정적 사용 확인</x:v>
      </x:c>
      <x:c r="S12" s="113" t="str">
        <x:v>P0</x:v>
      </x:c>
      <x:c r="T12" s="114" t="str">
        <x:v>SVG 대체텍스트·decorative aria-hidden·테마 필터</x:v>
      </x:c>
    </x:row>
    <x:row r="13" ht="54" customHeight="1">
      <x:c r="A13" s="113" t="n">
        <x:v>8</x:v>
      </x:c>
      <x:c r="B13" s="114" t="str">
        <x:v>액션</x:v>
      </x:c>
      <x:c r="C13" s="114" t="str">
        <x:v>버튼</x:v>
      </x:c>
      <x:c r="D13" s="114" t="str">
        <x:v>버튼</x:v>
      </x:c>
      <x:c r="E13" s="114" t="str">
        <x:v>default · primary · soft · ghost · outline · accent · purple · workspace · cyan · danger · active · dark · pill · nav</x:v>
      </x:c>
      <x:c r="F13" s="114" t="str">
        <x:v>24/32/38px 및 콘텐츠 폭</x:v>
      </x:c>
      <x:c r="G13" s="114" t="str">
        <x:v>기본 32px</x:v>
      </x:c>
      <x:c r="H13" s="114" t="str">
        <x:v>0 12px</x:v>
      </x:c>
      <x:c r="I13" s="114" t="str">
        <x:v>6px</x:v>
      </x:c>
      <x:c r="J13" s="114" t="str">
        <x:v>12px/600</x:v>
      </x:c>
      <x:c r="K13" s="114" t="str">
        <x:v>6px 기본</x:v>
      </x:c>
      <x:c r="L13" s="113" t="str">
        <x:v>Y</x:v>
      </x:c>
      <x:c r="M13" s="113" t="str">
        <x:v>완료</x:v>
      </x:c>
      <x:c r="N13" s="113" t="str">
        <x:v>전 프로젝트 공용</x:v>
      </x:c>
      <x:c r="O13" s="114" t="str">
        <x:v>.button · .icon-button · window.AIOneButton</x:v>
      </x:c>
      <x:c r="P13" s="114" t="str">
        <x:v>aria-pressed · aria-disabled</x:v>
      </x:c>
      <x:c r="Q13" s="114" t="str">
        <x:v>로그인 제외 5화면</x:v>
      </x:c>
      <x:c r="R13" s="114" t="str">
        <x:v>공통 CSS/JS·사용 확인</x:v>
      </x:c>
      <x:c r="S13" s="113" t="str">
        <x:v>P0</x:v>
      </x:c>
      <x:c r="T13" s="114" t="str">
        <x:v>hover/focus/disabled/pressed 전 variant와 44px 터치 영역 검토</x:v>
      </x:c>
    </x:row>
    <x:row r="14" ht="54" customHeight="1">
      <x:c r="A14" s="113" t="n">
        <x:v>9</x:v>
      </x:c>
      <x:c r="B14" s="114" t="str">
        <x:v>폼</x:v>
      </x:c>
      <x:c r="C14" s="114" t="str">
        <x:v>선택</x:v>
      </x:c>
      <x:c r="D14" s="114" t="str">
        <x:v>선택 그룹</x:v>
      </x:c>
      <x:c r="E14" s="114" t="str">
        <x:v>block · inline · title/desc</x:v>
      </x:c>
      <x:c r="F14" s="114" t="str">
        <x:v>100%/유동</x:v>
      </x:c>
      <x:c r="G14" s="114" t="str">
        <x:v>자동</x:v>
      </x:c>
      <x:c r="H14" s="114" t="str">
        <x:v>항목별</x:v>
      </x:c>
      <x:c r="I14" s="114" t="str">
        <x:v>8~12px</x:v>
      </x:c>
      <x:c r="J14" s="114" t="str">
        <x:v>12px</x:v>
      </x:c>
      <x:c r="K14" s="114" t="str">
        <x:v>6~10px</x:v>
      </x:c>
      <x:c r="L14" s="113" t="str">
        <x:v>N</x:v>
      </x:c>
      <x:c r="M14" s="113" t="str">
        <x:v>완료</x:v>
      </x:c>
      <x:c r="N14" s="113" t="str">
        <x:v>전 프로젝트 공용</x:v>
      </x:c>
      <x:c r="O14" s="114" t="str">
        <x:v>.choice-group · .choice-list</x:v>
      </x:c>
      <x:c r="P14" s="114" t="str">
        <x:v>native input 연계</x:v>
      </x:c>
      <x:c r="Q14" s="114" t="str">
        <x:v>answer-after</x:v>
      </x:c>
      <x:c r="R14" s="114" t="str">
        <x:v>정적 사용 확인</x:v>
      </x:c>
      <x:c r="S14" s="113" t="str">
        <x:v>P1</x:v>
      </x:c>
      <x:c r="T14" s="114" t="str">
        <x:v>fieldset/legend 또는 group label 관계 확인</x:v>
      </x:c>
    </x:row>
    <x:row r="15" ht="54" customHeight="1">
      <x:c r="A15" s="113" t="n">
        <x:v>10</x:v>
      </x:c>
      <x:c r="B15" s="114" t="str">
        <x:v>폼</x:v>
      </x:c>
      <x:c r="C15" s="114" t="str">
        <x:v>선택</x:v>
      </x:c>
      <x:c r="D15" s="114" t="str">
        <x:v>체크박스</x:v>
      </x:c>
      <x:c r="E15" s="114" t="str">
        <x:v>xs · sm · md · checked · disabled</x:v>
      </x:c>
      <x:c r="F15" s="114" t="str">
        <x:v>12/14/16px</x:v>
      </x:c>
      <x:c r="G15" s="114" t="str">
        <x:v>12/14/16px</x:v>
      </x:c>
      <x:c r="H15" s="114" t="str">
        <x:v>0</x:v>
      </x:c>
      <x:c r="I15" s="114" t="str">
        <x:v>8px</x:v>
      </x:c>
      <x:c r="J15" s="114" t="str">
        <x:v>12px</x:v>
      </x:c>
      <x:c r="K15" s="114" t="str">
        <x:v>3~4px</x:v>
      </x:c>
      <x:c r="L15" s="113" t="str">
        <x:v>N</x:v>
      </x:c>
      <x:c r="M15" s="113" t="str">
        <x:v>완료</x:v>
      </x:c>
      <x:c r="N15" s="113" t="str">
        <x:v>전 프로젝트 공용</x:v>
      </x:c>
      <x:c r="O15" s="114" t="str">
        <x:v>.checkbox-control · .checkbox-label</x:v>
      </x:c>
      <x:c r="P15" s="114" t="str">
        <x:v>native checkbox</x:v>
      </x:c>
      <x:c r="Q15" s="114" t="str">
        <x:v>답변 2화면 · 로그인</x:v>
      </x:c>
      <x:c r="R15" s="114" t="str">
        <x:v>정적 사용 확인</x:v>
      </x:c>
      <x:c r="S15" s="113" t="str">
        <x:v>P0</x:v>
      </x:c>
      <x:c r="T15" s="114" t="str">
        <x:v>클릭 영역·indeterminate·disabled 대비</x:v>
      </x:c>
    </x:row>
    <x:row r="16" ht="54" customHeight="1">
      <x:c r="A16" s="113" t="n">
        <x:v>11</x:v>
      </x:c>
      <x:c r="B16" s="114" t="str">
        <x:v>액션</x:v>
      </x:c>
      <x:c r="C16" s="114" t="str">
        <x:v>선택 토큰</x:v>
      </x:c>
      <x:c r="D16" s="114" t="str">
        <x:v>칩</x:v>
      </x:c>
      <x:c r="E16" s="114" t="str">
        <x:v>default · removable</x:v>
      </x:c>
      <x:c r="F16" s="114" t="str">
        <x:v>콘텐츠 폭</x:v>
      </x:c>
      <x:c r="G16" s="114" t="str">
        <x:v>자동</x:v>
      </x:c>
      <x:c r="H16" s="114" t="str">
        <x:v>4~8px 8~12px</x:v>
      </x:c>
      <x:c r="I16" s="114" t="str">
        <x:v>4px</x:v>
      </x:c>
      <x:c r="J16" s="114" t="str">
        <x:v>11~12px</x:v>
      </x:c>
      <x:c r="K16" s="114" t="str">
        <x:v>14px</x:v>
      </x:c>
      <x:c r="L16" s="113" t="str">
        <x:v>선택</x:v>
      </x:c>
      <x:c r="M16" s="113" t="str">
        <x:v>부분</x:v>
      </x:c>
      <x:c r="N16" s="113" t="str">
        <x:v>전 프로젝트 공용</x:v>
      </x:c>
      <x:c r="O16" s="114" t="str">
        <x:v>.chip · common.js Chip</x:v>
      </x:c>
      <x:c r="P16" s="114" t="str">
        <x:v>data-chip-target · data-chip-suffix</x:v>
      </x:c>
      <x:c r="Q16" s="114" t="str">
        <x:v>정적 .chip 인스턴스 없음</x:v>
      </x:c>
      <x:c r="R16" s="114" t="str">
        <x:v>CSS/JS 계약 확인</x:v>
      </x:c>
      <x:c r="S16" s="113" t="str">
        <x:v>P2</x:v>
      </x:c>
      <x:c r="T16" s="114" t="str">
        <x:v>현재 페이지 생성 경로·삭제 버튼 접근성 확인</x:v>
      </x:c>
    </x:row>
    <x:row r="17" ht="54" customHeight="1">
      <x:c r="A17" s="113" t="n">
        <x:v>12</x:v>
      </x:c>
      <x:c r="B17" s="114" t="str">
        <x:v>폼</x:v>
      </x:c>
      <x:c r="C17" s="114" t="str">
        <x:v>입력</x:v>
      </x:c>
      <x:c r="D17" s="114" t="str">
        <x:v>인풋</x:v>
      </x:c>
      <x:c r="E17" s="114" t="str">
        <x:v>default · focus · error · success · disabled · readonly</x:v>
      </x:c>
      <x:c r="F17" s="114" t="str">
        <x:v>100%</x:v>
      </x:c>
      <x:c r="G17" s="114" t="str">
        <x:v>자동</x:v>
      </x:c>
      <x:c r="H17" s="114" t="str">
        <x:v>8px 12px</x:v>
      </x:c>
      <x:c r="I17" s="114" t="str">
        <x:v>-</x:v>
      </x:c>
      <x:c r="J17" s="114" t="str">
        <x:v>13px</x:v>
      </x:c>
      <x:c r="K17" s="114" t="str">
        <x:v>6px</x:v>
      </x:c>
      <x:c r="L17" s="113" t="str">
        <x:v>N</x:v>
      </x:c>
      <x:c r="M17" s="113" t="str">
        <x:v>완료</x:v>
      </x:c>
      <x:c r="N17" s="113" t="str">
        <x:v>전 프로젝트 공용</x:v>
      </x:c>
      <x:c r="O17" s="114" t="str">
        <x:v>.form-input</x:v>
      </x:c>
      <x:c r="P17" s="114" t="str">
        <x:v>field state</x:v>
      </x:c>
      <x:c r="Q17" s="114" t="str">
        <x:v>답변 2화면 · 워크스페이스 · 로그인</x:v>
      </x:c>
      <x:c r="R17" s="114" t="str">
        <x:v>정적 사용 확인</x:v>
      </x:c>
      <x:c r="S17" s="113" t="str">
        <x:v>P0</x:v>
      </x:c>
      <x:c r="T17" s="114" t="str">
        <x:v>label/description/autocomplete/검증 상태</x:v>
      </x:c>
    </x:row>
    <x:row r="18" ht="54" customHeight="1">
      <x:c r="A18" s="113" t="n">
        <x:v>13</x:v>
      </x:c>
      <x:c r="B18" s="114" t="str">
        <x:v>폼</x:v>
      </x:c>
      <x:c r="C18" s="114" t="str">
        <x:v>선택</x:v>
      </x:c>
      <x:c r="D18" s="114" t="str">
        <x:v>라디오</x:v>
      </x:c>
      <x:c r="E18" s="114" t="str">
        <x:v>default · checked · disabled</x:v>
      </x:c>
      <x:c r="F18" s="114" t="str">
        <x:v>16px</x:v>
      </x:c>
      <x:c r="G18" s="114" t="str">
        <x:v>16px</x:v>
      </x:c>
      <x:c r="H18" s="114" t="str">
        <x:v>8px 0</x:v>
      </x:c>
      <x:c r="I18" s="114" t="str">
        <x:v>8px</x:v>
      </x:c>
      <x:c r="J18" s="114" t="str">
        <x:v>12px</x:v>
      </x:c>
      <x:c r="K18" s="114" t="str">
        <x:v>50%</x:v>
      </x:c>
      <x:c r="L18" s="113" t="str">
        <x:v>N</x:v>
      </x:c>
      <x:c r="M18" s="113" t="str">
        <x:v>완료</x:v>
      </x:c>
      <x:c r="N18" s="113" t="str">
        <x:v>전 프로젝트 공용</x:v>
      </x:c>
      <x:c r="O18" s="114" t="str">
        <x:v>.radio-label</x:v>
      </x:c>
      <x:c r="P18" s="114" t="str">
        <x:v>native radio</x:v>
      </x:c>
      <x:c r="Q18" s="114" t="str">
        <x:v>answer-after</x:v>
      </x:c>
      <x:c r="R18" s="114" t="str">
        <x:v>정적 사용 확인</x:v>
      </x:c>
      <x:c r="S18" s="113" t="str">
        <x:v>P1</x:v>
      </x:c>
      <x:c r="T18" s="114" t="str">
        <x:v>그룹 이름·키보드 방향키·선택 설명</x:v>
      </x:c>
    </x:row>
    <x:row r="19" ht="54" customHeight="1">
      <x:c r="A19" s="113" t="n">
        <x:v>14</x:v>
      </x:c>
      <x:c r="B19" s="114" t="str">
        <x:v>폼</x:v>
      </x:c>
      <x:c r="C19" s="114" t="str">
        <x:v>입력</x:v>
      </x:c>
      <x:c r="D19" s="114" t="str">
        <x:v>셀렉트</x:v>
      </x:c>
      <x:c r="E19" s="114" t="str">
        <x:v>default · focus · error · success · disabled</x:v>
      </x:c>
      <x:c r="F19" s="114" t="str">
        <x:v>100%</x:v>
      </x:c>
      <x:c r="G19" s="114" t="str">
        <x:v>자동</x:v>
      </x:c>
      <x:c r="H19" s="114" t="str">
        <x:v>8px 12px</x:v>
      </x:c>
      <x:c r="I19" s="114" t="str">
        <x:v>-</x:v>
      </x:c>
      <x:c r="J19" s="114" t="str">
        <x:v>13px</x:v>
      </x:c>
      <x:c r="K19" s="114" t="str">
        <x:v>6px</x:v>
      </x:c>
      <x:c r="L19" s="113" t="str">
        <x:v>Y</x:v>
      </x:c>
      <x:c r="M19" s="113" t="str">
        <x:v>완료</x:v>
      </x:c>
      <x:c r="N19" s="113" t="str">
        <x:v>전 프로젝트 공용</x:v>
      </x:c>
      <x:c r="O19" s="114" t="str">
        <x:v>.form-select</x:v>
      </x:c>
      <x:c r="P19" s="114" t="str">
        <x:v>native select</x:v>
      </x:c>
      <x:c r="Q19" s="114" t="str">
        <x:v>워크스페이스</x:v>
      </x:c>
      <x:c r="R19" s="114" t="str">
        <x:v>정적 사용 확인</x:v>
      </x:c>
      <x:c r="S19" s="113" t="str">
        <x:v>P1</x:v>
      </x:c>
      <x:c r="T19" s="114" t="str">
        <x:v>옵션 길이·포커스·모바일 native UI</x:v>
      </x:c>
    </x:row>
    <x:row r="20" ht="54" customHeight="1">
      <x:c r="A20" s="113" t="n">
        <x:v>15</x:v>
      </x:c>
      <x:c r="B20" s="114" t="str">
        <x:v>폼</x:v>
      </x:c>
      <x:c r="C20" s="114" t="str">
        <x:v>입력</x:v>
      </x:c>
      <x:c r="D20" s="114" t="str">
        <x:v>텍스트영역</x:v>
      </x:c>
      <x:c r="E20" s="114" t="str">
        <x:v>default · focus · error · success · disabled · readonly · autoheight</x:v>
      </x:c>
      <x:c r="F20" s="114" t="str">
        <x:v>100%</x:v>
      </x:c>
      <x:c r="G20" s="114" t="str">
        <x:v>콘텐츠/최소높이</x:v>
      </x:c>
      <x:c r="H20" s="114" t="str">
        <x:v>10px 14px</x:v>
      </x:c>
      <x:c r="I20" s="114" t="str">
        <x:v>-</x:v>
      </x:c>
      <x:c r="J20" s="114" t="str">
        <x:v>12px/1.7</x:v>
      </x:c>
      <x:c r="K20" s="114" t="str">
        <x:v>6px</x:v>
      </x:c>
      <x:c r="L20" s="113" t="str">
        <x:v>N</x:v>
      </x:c>
      <x:c r="M20" s="113" t="str">
        <x:v>완료</x:v>
      </x:c>
      <x:c r="N20" s="113" t="str">
        <x:v>전 프로젝트 공용</x:v>
      </x:c>
      <x:c r="O20" s="114" t="str">
        <x:v>.form-textarea · window.AIOneTextarea</x:v>
      </x:c>
      <x:c r="P20" s="114" t="str">
        <x:v>자동 높이 초기화</x:v>
      </x:c>
      <x:c r="Q20" s="114" t="str">
        <x:v>answer-after · 워크스페이스</x:v>
      </x:c>
      <x:c r="R20" s="114" t="str">
        <x:v>공통 CSS/JS·사용 확인</x:v>
      </x:c>
      <x:c r="S20" s="113" t="str">
        <x:v>P0</x:v>
      </x:c>
      <x:c r="T20" s="114" t="str">
        <x:v>최대 길이·count 연결·resize·IME 입력</x:v>
      </x:c>
    </x:row>
    <x:row r="21" ht="54" customHeight="1">
      <x:c r="A21" s="113" t="n">
        <x:v>16</x:v>
      </x:c>
      <x:c r="B21" s="114" t="str">
        <x:v>폼</x:v>
      </x:c>
      <x:c r="C21" s="114" t="str">
        <x:v>선택</x:v>
      </x:c>
      <x:c r="D21" s="114" t="str">
        <x:v>토글</x:v>
      </x:c>
      <x:c r="E21" s="114" t="str">
        <x:v>default · checked · disabled · notification</x:v>
      </x:c>
      <x:c r="F21" s="114" t="str">
        <x:v>행 100%</x:v>
      </x:c>
      <x:c r="G21" s="114" t="str">
        <x:v>컨트롤 종속</x:v>
      </x:c>
      <x:c r="H21" s="114" t="str">
        <x:v>10px 14px</x:v>
      </x:c>
      <x:c r="I21" s="114" t="str">
        <x:v>16px</x:v>
      </x:c>
      <x:c r="J21" s="114" t="str">
        <x:v>12px</x:v>
      </x:c>
      <x:c r="K21" s="114" t="str">
        <x:v>6px/999px</x:v>
      </x:c>
      <x:c r="L21" s="113" t="str">
        <x:v>N</x:v>
      </x:c>
      <x:c r="M21" s="113" t="str">
        <x:v>완료</x:v>
      </x:c>
      <x:c r="N21" s="113" t="str">
        <x:v>전 프로젝트 공용</x:v>
      </x:c>
      <x:c r="O21" s="114" t="str">
        <x:v>.toggle-switch · .toggle-row</x:v>
      </x:c>
      <x:c r="P21" s="114" t="str">
        <x:v>native checkbox/aria-checked</x:v>
      </x:c>
      <x:c r="Q21" s="114" t="str">
        <x:v>로그인 제외 5화면</x:v>
      </x:c>
      <x:c r="R21" s="114" t="str">
        <x:v>정적 사용 확인</x:v>
      </x:c>
      <x:c r="S21" s="113" t="str">
        <x:v>P1</x:v>
      </x:c>
      <x:c r="T21" s="114" t="str">
        <x:v>상태 텍스트·키보드·비활성 대비</x:v>
      </x:c>
    </x:row>
    <x:row r="22" ht="54" customHeight="1">
      <x:c r="A22" s="113" t="n">
        <x:v>17</x:v>
      </x:c>
      <x:c r="B22" s="114" t="str">
        <x:v>내비게이션</x:v>
      </x:c>
      <x:c r="C22" s="114" t="str">
        <x:v>필터</x:v>
      </x:c>
      <x:c r="D22" s="114" t="str">
        <x:v>필터 버튼</x:v>
      </x:c>
      <x:c r="E22" s="114" t="str">
        <x:v>all · single · multi · none · excluded</x:v>
      </x:c>
      <x:c r="F22" s="114" t="str">
        <x:v>콘텐츠 폭</x:v>
      </x:c>
      <x:c r="G22" s="114" t="str">
        <x:v>자동</x:v>
      </x:c>
      <x:c r="H22" s="114" t="str">
        <x:v>4px 10px</x:v>
      </x:c>
      <x:c r="I22" s="114" t="str">
        <x:v>5px</x:v>
      </x:c>
      <x:c r="J22" s="114" t="str">
        <x:v>11px</x:v>
      </x:c>
      <x:c r="K22" s="114" t="str">
        <x:v>14px</x:v>
      </x:c>
      <x:c r="L22" s="113" t="str">
        <x:v>N</x:v>
      </x:c>
      <x:c r="M22" s="113" t="str">
        <x:v>부분</x:v>
      </x:c>
      <x:c r="N22" s="113" t="str">
        <x:v>전 프로젝트 공용</x:v>
      </x:c>
      <x:c r="O22" s="114" t="str">
        <x:v>.filter-btn · window.AIOneFilterButtons</x:v>
      </x:c>
      <x:c r="P22" s="114" t="str">
        <x:v>data-filter · aria-pressed</x:v>
      </x:c>
      <x:c r="Q22" s="114" t="str">
        <x:v>답변 2화면 · 워크스페이스</x:v>
      </x:c>
      <x:c r="R22" s="114" t="str">
        <x:v>공통 CSS/JS·사용 확인</x:v>
      </x:c>
      <x:c r="S22" s="113" t="str">
        <x:v>P1</x:v>
      </x:c>
      <x:c r="T22" s="114" t="str">
        <x:v>excluded 규칙 일부 주석 상태; active/default/hover 분리 확인</x:v>
      </x:c>
    </x:row>
    <x:row r="23" ht="54" customHeight="1">
      <x:c r="A23" s="113" t="n">
        <x:v>18</x:v>
      </x:c>
      <x:c r="B23" s="114" t="str">
        <x:v>폼</x:v>
      </x:c>
      <x:c r="C23" s="114" t="str">
        <x:v>파일</x:v>
      </x:c>
      <x:c r="D23" s="114" t="str">
        <x:v>파일 업로드</x:v>
      </x:c>
      <x:c r="E23" s="114" t="str">
        <x:v>default · type2 · type3 · reference · smart · dragover</x:v>
      </x:c>
      <x:c r="F23" s="114" t="str">
        <x:v>100%</x:v>
      </x:c>
      <x:c r="G23" s="114" t="str">
        <x:v>기본 122px</x:v>
      </x:c>
      <x:c r="H23" s="114" t="str">
        <x:v>22px 12px 18px</x:v>
      </x:c>
      <x:c r="I23" s="114" t="str">
        <x:v>8px</x:v>
      </x:c>
      <x:c r="J23" s="114" t="str">
        <x:v>11~13px</x:v>
      </x:c>
      <x:c r="K23" s="114" t="str">
        <x:v>10px</x:v>
      </x:c>
      <x:c r="L23" s="113" t="str">
        <x:v>Y</x:v>
      </x:c>
      <x:c r="M23" s="113" t="str">
        <x:v>완료</x:v>
      </x:c>
      <x:c r="N23" s="113" t="str">
        <x:v>전 프로젝트 공용</x:v>
      </x:c>
      <x:c r="O23" s="114" t="str">
        <x:v>.upload-zone · window.AIOneFileUpload</x:v>
      </x:c>
      <x:c r="P23" s="114" t="str">
        <x:v>data-file-upload-zone · drag events</x:v>
      </x:c>
      <x:c r="Q23" s="114" t="str">
        <x:v>답변 2화면 · 워크스페이스</x:v>
      </x:c>
      <x:c r="R23" s="114" t="str">
        <x:v>공통 CSS/JS·사용 확인</x:v>
      </x:c>
      <x:c r="S23" s="113" t="str">
        <x:v>P0</x:v>
      </x:c>
      <x:c r="T23" s="114" t="str">
        <x:v>파일형식/용량/다중 선택/키보드/보안 실패 상태</x:v>
      </x:c>
    </x:row>
    <x:row r="24" ht="54" customHeight="1">
      <x:c r="A24" s="113" t="n">
        <x:v>19</x:v>
      </x:c>
      <x:c r="B24" s="114" t="str">
        <x:v>데이터 표시</x:v>
      </x:c>
      <x:c r="C24" s="114" t="str">
        <x:v>파일</x:v>
      </x:c>
      <x:c r="D24" s="114" t="str">
        <x:v>파일 항목</x:v>
      </x:c>
      <x:c r="E24" s="114" t="str">
        <x:v>default · simple · pending/processing/done/error · menu</x:v>
      </x:c>
      <x:c r="F24" s="114" t="str">
        <x:v>100%</x:v>
      </x:c>
      <x:c r="G24" s="114" t="str">
        <x:v>자동</x:v>
      </x:c>
      <x:c r="H24" s="114" t="str">
        <x:v>8~12px</x:v>
      </x:c>
      <x:c r="I24" s="114" t="str">
        <x:v>8px</x:v>
      </x:c>
      <x:c r="J24" s="114" t="str">
        <x:v>11~13px</x:v>
      </x:c>
      <x:c r="K24" s="114" t="str">
        <x:v>6~10px</x:v>
      </x:c>
      <x:c r="L24" s="113" t="str">
        <x:v>Y</x:v>
      </x:c>
      <x:c r="M24" s="113" t="str">
        <x:v>완료</x:v>
      </x:c>
      <x:c r="N24" s="113" t="str">
        <x:v>전 프로젝트 공용</x:v>
      </x:c>
      <x:c r="O24" s="114" t="str">
        <x:v>.file-item-* · window.AIOneFileItem</x:v>
      </x:c>
      <x:c r="P24" s="114" t="str">
        <x:v>data-file-state · retry/remove</x:v>
      </x:c>
      <x:c r="Q24" s="114" t="str">
        <x:v>답변 2화면 · 워크스페이스</x:v>
      </x:c>
      <x:c r="R24" s="114" t="str">
        <x:v>공통 CSS/JS·사용 확인</x:v>
      </x:c>
      <x:c r="S24" s="113" t="str">
        <x:v>P0</x:v>
      </x:c>
      <x:c r="T24" s="114" t="str">
        <x:v>상태 전이·긴 파일명·재시도/삭제·메뉴 포커스</x:v>
      </x:c>
    </x:row>
    <x:row r="25" ht="54" customHeight="1">
      <x:c r="A25" s="113" t="n">
        <x:v>20</x:v>
      </x:c>
      <x:c r="B25" s="114" t="str">
        <x:v>데이터 표시</x:v>
      </x:c>
      <x:c r="C25" s="114" t="str">
        <x:v>파일</x:v>
      </x:c>
      <x:c r="D25" s="114" t="str">
        <x:v>파일 목록</x:v>
      </x:c>
      <x:c r="E25" s="114" t="str">
        <x:v>default · collapsed · empty · sortable</x:v>
      </x:c>
      <x:c r="F25" s="114" t="str">
        <x:v>100%</x:v>
      </x:c>
      <x:c r="G25" s="114" t="str">
        <x:v>목록 종속</x:v>
      </x:c>
      <x:c r="H25" s="114" t="str">
        <x:v>8~12px</x:v>
      </x:c>
      <x:c r="I25" s="114" t="str">
        <x:v>6~10px</x:v>
      </x:c>
      <x:c r="J25" s="114" t="str">
        <x:v>11~13px</x:v>
      </x:c>
      <x:c r="K25" s="114" t="str">
        <x:v>6~10px</x:v>
      </x:c>
      <x:c r="L25" s="113" t="str">
        <x:v>Y</x:v>
      </x:c>
      <x:c r="M25" s="113" t="str">
        <x:v>완료</x:v>
      </x:c>
      <x:c r="N25" s="113" t="str">
        <x:v>전 프로젝트 공용</x:v>
      </x:c>
      <x:c r="O25" s="114" t="str">
        <x:v>.file-list · .file-list-section</x:v>
      </x:c>
      <x:c r="P25" s="114" t="str">
        <x:v>data-file-list-*</x:v>
      </x:c>
      <x:c r="Q25" s="114" t="str">
        <x:v>답변 2화면 · 워크스페이스</x:v>
      </x:c>
      <x:c r="R25" s="114" t="str">
        <x:v>공통 CSS·사용 확인</x:v>
      </x:c>
      <x:c r="S25" s="113" t="str">
        <x:v>P1</x:v>
      </x:c>
      <x:c r="T25" s="114" t="str">
        <x:v>빈 상태·스크롤·정렬·추가 버튼</x:v>
      </x:c>
    </x:row>
    <x:row r="26" ht="54" customHeight="1">
      <x:c r="A26" s="113" t="n">
        <x:v>21</x:v>
      </x:c>
      <x:c r="B26" s="114" t="str">
        <x:v>내비게이션</x:v>
      </x:c>
      <x:c r="C26" s="114" t="str">
        <x:v>메뉴</x:v>
      </x:c>
      <x:c r="D26" s="114" t="str">
        <x:v>드롭다운 메뉴</x:v>
      </x:c>
      <x:c r="E26" s="114" t="str">
        <x:v>default · compact · model · icon-action · bottom-end</x:v>
      </x:c>
      <x:c r="F26" s="114" t="str">
        <x:v>180~280px</x:v>
      </x:c>
      <x:c r="G26" s="114" t="str">
        <x:v>자동</x:v>
      </x:c>
      <x:c r="H26" s="114" t="str">
        <x:v>6px</x:v>
      </x:c>
      <x:c r="I26" s="114" t="str">
        <x:v>2~6px</x:v>
      </x:c>
      <x:c r="J26" s="114" t="str">
        <x:v>11~12px</x:v>
      </x:c>
      <x:c r="K26" s="114" t="str">
        <x:v>10px</x:v>
      </x:c>
      <x:c r="L26" s="113" t="str">
        <x:v>Y</x:v>
      </x:c>
      <x:c r="M26" s="113" t="str">
        <x:v>완료</x:v>
      </x:c>
      <x:c r="N26" s="113" t="str">
        <x:v>전 프로젝트 공용</x:v>
      </x:c>
      <x:c r="O26" s="114" t="str">
        <x:v>.dropdown-menu · window.AIOneDropdownMenu</x:v>
      </x:c>
      <x:c r="P26" s="114" t="str">
        <x:v>data-dropdown-menu/trigger · aria-expanded</x:v>
      </x:c>
      <x:c r="Q26" s="114" t="str">
        <x:v>로그인 제외 5화면</x:v>
      </x:c>
      <x:c r="R26" s="114" t="str">
        <x:v>공통 CSS/JS·사용 확인</x:v>
      </x:c>
      <x:c r="S26" s="113" t="str">
        <x:v>P0</x:v>
      </x:c>
      <x:c r="T26" s="114" t="str">
        <x:v>화면 경계 배치·Escape·외부 클릭·roving focus</x:v>
      </x:c>
    </x:row>
    <x:row r="27" ht="54" customHeight="1">
      <x:c r="A27" s="113" t="n">
        <x:v>22</x:v>
      </x:c>
      <x:c r="B27" s="114" t="str">
        <x:v>피드백</x:v>
      </x:c>
      <x:c r="C27" s="114" t="str">
        <x:v>도움말</x:v>
      </x:c>
      <x:c r="D27" s="114" t="str">
        <x:v>툴팁</x:v>
      </x:c>
      <x:c r="E27" s="114" t="str">
        <x:v>top · bottom · left · right</x:v>
      </x:c>
      <x:c r="F27" s="114" t="str">
        <x:v>max 280px</x:v>
      </x:c>
      <x:c r="G27" s="114" t="str">
        <x:v>자동</x:v>
      </x:c>
      <x:c r="H27" s="114" t="str">
        <x:v>7px 10px</x:v>
      </x:c>
      <x:c r="I27" s="114" t="str">
        <x:v>-</x:v>
      </x:c>
      <x:c r="J27" s="114" t="str">
        <x:v>12px/600</x:v>
      </x:c>
      <x:c r="K27" s="114" t="str">
        <x:v>5px</x:v>
      </x:c>
      <x:c r="L27" s="113" t="str">
        <x:v>N</x:v>
      </x:c>
      <x:c r="M27" s="113" t="str">
        <x:v>완료</x:v>
      </x:c>
      <x:c r="N27" s="113" t="str">
        <x:v>전 프로젝트 공용</x:v>
      </x:c>
      <x:c r="O27" s="114" t="str">
        <x:v>.ai-one-tooltip · window.AIOneTooltip</x:v>
      </x:c>
      <x:c r="P27" s="114" t="str">
        <x:v>data-tooltip · role=tooltip</x:v>
      </x:c>
      <x:c r="Q27" s="114" t="str">
        <x:v>전체 6화면</x:v>
      </x:c>
      <x:c r="R27" s="114" t="str">
        <x:v>공통 CSS/JS·사용 확인</x:v>
      </x:c>
      <x:c r="S27" s="113" t="str">
        <x:v>P0</x:v>
      </x:c>
      <x:c r="T27" s="114" t="str">
        <x:v>hover/focus 동시 지원·지연·viewport 충돌</x:v>
      </x:c>
    </x:row>
    <x:row r="28" ht="54" customHeight="1">
      <x:c r="A28" s="113" t="n">
        <x:v>23</x:v>
      </x:c>
      <x:c r="B28" s="114" t="str">
        <x:v>데이터 표시</x:v>
      </x:c>
      <x:c r="C28" s="114" t="str">
        <x:v>테이블</x:v>
      </x:c>
      <x:c r="D28" s="114" t="str">
        <x:v>데이터 테이블</x:v>
      </x:c>
      <x:c r="E28" s="114" t="str">
        <x:v>default · loading · empty · selectable · sortable · actions</x:v>
      </x:c>
      <x:c r="F28" s="114" t="str">
        <x:v>100%</x:v>
      </x:c>
      <x:c r="G28" s="114" t="str">
        <x:v>콘텐츠 종속</x:v>
      </x:c>
      <x:c r="H28" s="114" t="str">
        <x:v>셀 10~12px</x:v>
      </x:c>
      <x:c r="I28" s="114" t="str">
        <x:v>-</x:v>
      </x:c>
      <x:c r="J28" s="114" t="str">
        <x:v>11~13px</x:v>
      </x:c>
      <x:c r="K28" s="114" t="str">
        <x:v>12px 외곽</x:v>
      </x:c>
      <x:c r="L28" s="113" t="str">
        <x:v>Y</x:v>
      </x:c>
      <x:c r="M28" s="113" t="str">
        <x:v>완료</x:v>
      </x:c>
      <x:c r="N28" s="113" t="str">
        <x:v>전 프로젝트 공용</x:v>
      </x:c>
      <x:c r="O28" s="114" t="str">
        <x:v>.table-area · window.AIOneDataTable</x:v>
      </x:c>
      <x:c r="P28" s="114" t="str">
        <x:v>data-datatable · sort/select/loading</x:v>
      </x:c>
      <x:c r="Q28" s="114" t="str">
        <x:v>홈</x:v>
      </x:c>
      <x:c r="R28" s="114" t="str">
        <x:v>공통 CSS/JS·사용 확인</x:v>
      </x:c>
      <x:c r="S28" s="113" t="str">
        <x:v>P0</x:v>
      </x:c>
      <x:c r="T28" s="114" t="str">
        <x:v>헤더 연관·정렬 aria-sort·행 선택·가로 스크롤</x:v>
      </x:c>
    </x:row>
    <x:row r="29" ht="54" customHeight="1">
      <x:c r="A29" s="113" t="n">
        <x:v>24</x:v>
      </x:c>
      <x:c r="B29" s="114" t="str">
        <x:v>데이터 표시</x:v>
      </x:c>
      <x:c r="C29" s="114" t="str">
        <x:v>진행</x:v>
      </x:c>
      <x:c r="D29" s="114" t="str">
        <x:v>프로그레스 바</x:v>
      </x:c>
      <x:c r="E29" s="114" t="str">
        <x:v>default · lg · value band</x:v>
      </x:c>
      <x:c r="F29" s="114" t="str">
        <x:v>100%</x:v>
      </x:c>
      <x:c r="G29" s="114" t="str">
        <x:v>6px/8px</x:v>
      </x:c>
      <x:c r="H29" s="114" t="str">
        <x:v>0</x:v>
      </x:c>
      <x:c r="I29" s="114" t="str">
        <x:v>8px</x:v>
      </x:c>
      <x:c r="J29" s="114" t="str">
        <x:v>10~12px label</x:v>
      </x:c>
      <x:c r="K29" s="114" t="str">
        <x:v>3px/4px</x:v>
      </x:c>
      <x:c r="L29" s="113" t="str">
        <x:v>N</x:v>
      </x:c>
      <x:c r="M29" s="113" t="str">
        <x:v>완료</x:v>
      </x:c>
      <x:c r="N29" s="113" t="str">
        <x:v>전 프로젝트 공용</x:v>
      </x:c>
      <x:c r="O29" s="114" t="str">
        <x:v>.progressbar · window.AIOneProgressBar</x:v>
      </x:c>
      <x:c r="P29" s="114" t="str">
        <x:v>data-progressbar · aria-valuenow</x:v>
      </x:c>
      <x:c r="Q29" s="114" t="str">
        <x:v>워크스페이스</x:v>
      </x:c>
      <x:c r="R29" s="114" t="str">
        <x:v>공통 CSS/JS·사용 확인</x:v>
      </x:c>
      <x:c r="S29" s="113" t="str">
        <x:v>P1</x:v>
      </x:c>
      <x:c r="T29" s="114" t="str">
        <x:v>0/100/경계값·색상 외 수치 제공</x:v>
      </x:c>
    </x:row>
    <x:row r="30" ht="54" customHeight="1">
      <x:c r="A30" s="113" t="n">
        <x:v>25</x:v>
      </x:c>
      <x:c r="B30" s="114" t="str">
        <x:v>레이아웃</x:v>
      </x:c>
      <x:c r="C30" s="114" t="str">
        <x:v>콘텐츠 구조</x:v>
      </x:c>
      <x:c r="D30" s="114" t="str">
        <x:v>패널</x:v>
      </x:c>
      <x:c r="E30" s="114" t="str">
        <x:v>left · center · right · collapsed</x:v>
      </x:c>
      <x:c r="F30" s="114" t="str">
        <x:v>유동/변수</x:v>
      </x:c>
      <x:c r="G30" s="114" t="str">
        <x:v>100%</x:v>
      </x:c>
      <x:c r="H30" s="114" t="str">
        <x:v>영역별</x:v>
      </x:c>
      <x:c r="I30" s="114" t="str">
        <x:v>8~12px</x:v>
      </x:c>
      <x:c r="J30" s="114" t="str">
        <x:v>11~15px</x:v>
      </x:c>
      <x:c r="K30" s="114" t="str">
        <x:v>10px</x:v>
      </x:c>
      <x:c r="L30" s="113" t="str">
        <x:v>Y</x:v>
      </x:c>
      <x:c r="M30" s="113" t="str">
        <x:v>완료</x:v>
      </x:c>
      <x:c r="N30" s="113" t="str">
        <x:v>전 프로젝트 공용</x:v>
      </x:c>
      <x:c r="O30" s="114" t="str">
        <x:v>.panel · .panel-head</x:v>
      </x:c>
      <x:c r="P30" s="114" t="str">
        <x:v>data-panel · collapsed state</x:v>
      </x:c>
      <x:c r="Q30" s="114" t="str">
        <x:v>답변 2화면 · 워크스페이스</x:v>
      </x:c>
      <x:c r="R30" s="114" t="str">
        <x:v>공통 CSS·사용 확인</x:v>
      </x:c>
      <x:c r="S30" s="113" t="str">
        <x:v>P0</x:v>
      </x:c>
      <x:c r="T30" s="114" t="str">
        <x:v>최소폭·접힘·스크롤 소유권·헤더 액션</x:v>
      </x:c>
    </x:row>
    <x:row r="31" ht="54" customHeight="1">
      <x:c r="A31" s="113" t="n">
        <x:v>26</x:v>
      </x:c>
      <x:c r="B31" s="114" t="str">
        <x:v>레이아웃</x:v>
      </x:c>
      <x:c r="C31" s="114" t="str">
        <x:v>리사이즈</x:v>
      </x:c>
      <x:c r="D31" s="114" t="str">
        <x:v>분할 핸들러</x:v>
      </x:c>
      <x:c r="E31" s="114" t="str">
        <x:v>type1 좌우 · type2 상하 · keyboard reset</x:v>
      </x:c>
      <x:c r="F31" s="114" t="str">
        <x:v>핸들 폭 종속</x:v>
      </x:c>
      <x:c r="G31" s="114" t="str">
        <x:v>100%/유동</x:v>
      </x:c>
      <x:c r="H31" s="114" t="str">
        <x:v>0</x:v>
      </x:c>
      <x:c r="I31" s="114" t="str">
        <x:v>-</x:v>
      </x:c>
      <x:c r="J31" s="114" t="str">
        <x:v>-</x:v>
      </x:c>
      <x:c r="K31" s="114" t="str">
        <x:v>-</x:v>
      </x:c>
      <x:c r="L31" s="113" t="str">
        <x:v>N</x:v>
      </x:c>
      <x:c r="M31" s="113" t="str">
        <x:v>완료</x:v>
      </x:c>
      <x:c r="N31" s="113" t="str">
        <x:v>전 프로젝트 공용</x:v>
      </x:c>
      <x:c r="O31" s="114" t="str">
        <x:v>.split-handler · window.AIOneSplitHandler</x:v>
      </x:c>
      <x:c r="P31" s="114" t="str">
        <x:v>data-resize/data-split-min</x:v>
      </x:c>
      <x:c r="Q31" s="114" t="str">
        <x:v>답변 2화면 · 워크스페이스</x:v>
      </x:c>
      <x:c r="R31" s="114" t="str">
        <x:v>공통 CSS/JS·사용 확인</x:v>
      </x:c>
      <x:c r="S31" s="113" t="str">
        <x:v>P0</x:v>
      </x:c>
      <x:c r="T31" s="114" t="str">
        <x:v>키보드 조절·최소폭·리셋·반응형 비활성</x:v>
      </x:c>
    </x:row>
    <x:row r="32" ht="54" customHeight="1">
      <x:c r="A32" s="113" t="n">
        <x:v>27</x:v>
      </x:c>
      <x:c r="B32" s="114" t="str">
        <x:v>내비게이션</x:v>
      </x:c>
      <x:c r="C32" s="114" t="str">
        <x:v>전역</x:v>
      </x:c>
      <x:c r="D32" s="114" t="str">
        <x:v>사이드바</x:v>
      </x:c>
      <x:c r="E32" s="114" t="str">
        <x:v>expanded · collapsed · responsive · completion</x:v>
      </x:c>
      <x:c r="F32" s="114" t="str">
        <x:v>200px/56px</x:v>
      </x:c>
      <x:c r="G32" s="114" t="str">
        <x:v>100vh</x:v>
      </x:c>
      <x:c r="H32" s="114" t="str">
        <x:v>영역별</x:v>
      </x:c>
      <x:c r="I32" s="114" t="str">
        <x:v>8~10px</x:v>
      </x:c>
      <x:c r="J32" s="114" t="str">
        <x:v>11~13px</x:v>
      </x:c>
      <x:c r="K32" s="114" t="str">
        <x:v>-</x:v>
      </x:c>
      <x:c r="L32" s="113" t="str">
        <x:v>Y</x:v>
      </x:c>
      <x:c r="M32" s="113" t="str">
        <x:v>완료</x:v>
      </x:c>
      <x:c r="N32" s="113" t="str">
        <x:v>전 프로젝트 공용</x:v>
      </x:c>
      <x:c r="O32" s="114" t="str">
        <x:v>.sidebar · window.AIOneSidebar</x:v>
      </x:c>
      <x:c r="P32" s="114" t="str">
        <x:v>data-route · aria-expanded · account menu</x:v>
      </x:c>
      <x:c r="Q32" s="114" t="str">
        <x:v>로그인 제외 5화면</x:v>
      </x:c>
      <x:c r="R32" s="114" t="str">
        <x:v>공통 CSS/JS·사용 확인</x:v>
      </x:c>
      <x:c r="S32" s="113" t="str">
        <x:v>P0</x:v>
      </x:c>
      <x:c r="T32" s="114" t="str">
        <x:v>현재 경로·접힘 유지·모바일·계정 레이어·포커스</x:v>
      </x:c>
    </x:row>
    <x:row r="33" ht="54" customHeight="1">
      <x:c r="A33" s="113" t="n">
        <x:v>28</x:v>
      </x:c>
      <x:c r="B33" s="114" t="str">
        <x:v>내비게이션</x:v>
      </x:c>
      <x:c r="C33" s="114" t="str">
        <x:v>전역</x:v>
      </x:c>
      <x:c r="D33" s="114" t="str">
        <x:v>탑바</x:v>
      </x:c>
      <x:c r="E33" s="114" t="str">
        <x:v>default · type1 · workspace slot · actions</x:v>
      </x:c>
      <x:c r="F33" s="114" t="str">
        <x:v>100%</x:v>
      </x:c>
      <x:c r="G33" s="114" t="str">
        <x:v>56px</x:v>
      </x:c>
      <x:c r="H33" s="114" t="str">
        <x:v>0 12px 0 20px</x:v>
      </x:c>
      <x:c r="I33" s="114" t="str">
        <x:v>16px</x:v>
      </x:c>
      <x:c r="J33" s="114" t="str">
        <x:v>11/15px</x:v>
      </x:c>
      <x:c r="K33" s="114" t="str">
        <x:v>-</x:v>
      </x:c>
      <x:c r="L33" s="113" t="str">
        <x:v>Y</x:v>
      </x:c>
      <x:c r="M33" s="113" t="str">
        <x:v>완료</x:v>
      </x:c>
      <x:c r="N33" s="113" t="str">
        <x:v>전 프로젝트 공용</x:v>
      </x:c>
      <x:c r="O33" s="114" t="str">
        <x:v>.app-topbar · window.AIOneTopbar</x:v>
      </x:c>
      <x:c r="P33" s="114" t="str">
        <x:v>data-topbar-title/subtitle · font percent</x:v>
      </x:c>
      <x:c r="Q33" s="114" t="str">
        <x:v>답변 2화면 · 워크스페이스</x:v>
      </x:c>
      <x:c r="R33" s="114" t="str">
        <x:v>공통 CSS/JS·사용 확인</x:v>
      </x:c>
      <x:c r="S33" s="113" t="str">
        <x:v>P0</x:v>
      </x:c>
      <x:c r="T33" s="114" t="str">
        <x:v>긴 제목·액션 wrapping·배율·모바일</x:v>
      </x:c>
    </x:row>
    <x:row r="34" ht="54" customHeight="1">
      <x:c r="A34" s="113" t="n">
        <x:v>29</x:v>
      </x:c>
      <x:c r="B34" s="114" t="str">
        <x:v>피드백</x:v>
      </x:c>
      <x:c r="C34" s="114" t="str">
        <x:v>레이어</x:v>
      </x:c>
      <x:c r="D34" s="114" t="str">
        <x:v>모달</x:v>
      </x:c>
      <x:c r="E34" s="114" t="str">
        <x:v>action-menu · profile/settings · content · confirm/cancel/alert/logout/rename/form</x:v>
      </x:c>
      <x:c r="F34" s="114" t="str">
        <x:v>160/360/380/430/960px</x:v>
      </x:c>
      <x:c r="G34" s="114" t="str">
        <x:v>viewport 종속</x:v>
      </x:c>
      <x:c r="H34" s="114" t="str">
        <x:v>16px 외곽·24px 기본</x:v>
      </x:c>
      <x:c r="I34" s="114" t="str">
        <x:v>8~16px</x:v>
      </x:c>
      <x:c r="J34" s="114" t="str">
        <x:v>11~15px</x:v>
      </x:c>
      <x:c r="K34" s="114" t="str">
        <x:v>10/12px</x:v>
      </x:c>
      <x:c r="L34" s="113" t="str">
        <x:v>Y</x:v>
      </x:c>
      <x:c r="M34" s="113" t="str">
        <x:v>완료</x:v>
      </x:c>
      <x:c r="N34" s="113" t="str">
        <x:v>전 프로젝트 공용</x:v>
      </x:c>
      <x:c r="O34" s="114" t="str">
        <x:v>.modal · window.AIOneModal/AIOneLayerFactory</x:v>
      </x:c>
      <x:c r="P34" s="114" t="str">
        <x:v>data-modal-open/close/variant · focus trap</x:v>
      </x:c>
      <x:c r="Q34" s="114" t="str">
        <x:v>로그인 제외 5화면</x:v>
      </x:c>
      <x:c r="R34" s="114" t="str">
        <x:v>공통 CSS/JS·사용 확인</x:v>
      </x:c>
      <x:c r="S34" s="113" t="str">
        <x:v>P0</x:v>
      </x:c>
      <x:c r="T34" s="114" t="str">
        <x:v>stacking·초기 포커스·Escape·backdrop·focus return</x:v>
      </x:c>
    </x:row>
    <x:row r="35" ht="54" customHeight="1">
      <x:c r="A35" s="113" t="n">
        <x:v>30</x:v>
      </x:c>
      <x:c r="B35" s="114" t="str">
        <x:v>피드백</x:v>
      </x:c>
      <x:c r="C35" s="114" t="str">
        <x:v>레이어</x:v>
      </x:c>
      <x:c r="D35" s="114" t="str">
        <x:v>사이드팝/드로어</x:v>
      </x:c>
      <x:c r="E35" s="114" t="str">
        <x:v>left/right · small/medium/large/xlarge · run-list/content</x:v>
      </x:c>
      <x:c r="F35" s="114" t="str">
        <x:v>360/420/460/900px</x:v>
      </x:c>
      <x:c r="G35" s="114" t="str">
        <x:v>100vh</x:v>
      </x:c>
      <x:c r="H35" s="114" t="str">
        <x:v>header 16px 20px · body 20px</x:v>
      </x:c>
      <x:c r="I35" s="114" t="str">
        <x:v>8px</x:v>
      </x:c>
      <x:c r="J35" s="114" t="str">
        <x:v>11~15px</x:v>
      </x:c>
      <x:c r="K35" s="114" t="str">
        <x:v>6~10px</x:v>
      </x:c>
      <x:c r="L35" s="113" t="str">
        <x:v>Y</x:v>
      </x:c>
      <x:c r="M35" s="113" t="str">
        <x:v>완료</x:v>
      </x:c>
      <x:c r="N35" s="113" t="str">
        <x:v>전 프로젝트 공용</x:v>
      </x:c>
      <x:c r="O35" s="114" t="str">
        <x:v>.drawer · window.AIOneSidePop</x:v>
      </x:c>
      <x:c r="P35" s="114" t="str">
        <x:v>data-sidepop-* · child modal</x:v>
      </x:c>
      <x:c r="Q35" s="114" t="str">
        <x:v>답변 2화면 · 챗봇 · 워크스페이스</x:v>
      </x:c>
      <x:c r="R35" s="114" t="str">
        <x:v>공통 CSS/JS·사용 확인</x:v>
      </x:c>
      <x:c r="S35" s="113" t="str">
        <x:v>P0</x:v>
      </x:c>
      <x:c r="T35" s="114" t="str">
        <x:v>모달 중첩·좌우 전환·스크롤·포커스·viewport</x:v>
      </x:c>
    </x:row>
    <x:row r="36" ht="54" customHeight="1">
      <x:c r="A36" s="113" t="n">
        <x:v>31</x:v>
      </x:c>
      <x:c r="B36" s="114" t="str">
        <x:v>피드백</x:v>
      </x:c>
      <x:c r="C36" s="114" t="str">
        <x:v>알림</x:v>
      </x:c>
      <x:c r="D36" s="114" t="str">
        <x:v>토스트</x:v>
      </x:c>
      <x:c r="E36" s="114" t="str">
        <x:v>default · long-running notification</x:v>
      </x:c>
      <x:c r="F36" s="114" t="str">
        <x:v>max 400px/360px</x:v>
      </x:c>
      <x:c r="G36" s="114" t="str">
        <x:v>min 36px</x:v>
      </x:c>
      <x:c r="H36" s="114" t="str">
        <x:v>9px 20px / 13px 14px</x:v>
      </x:c>
      <x:c r="I36" s="114" t="str">
        <x:v>10px</x:v>
      </x:c>
      <x:c r="J36" s="114" t="str">
        <x:v>11px</x:v>
      </x:c>
      <x:c r="K36" s="114" t="str">
        <x:v>11/12px</x:v>
      </x:c>
      <x:c r="L36" s="113" t="str">
        <x:v>Y</x:v>
      </x:c>
      <x:c r="M36" s="113" t="str">
        <x:v>완료</x:v>
      </x:c>
      <x:c r="N36" s="113" t="str">
        <x:v>전 프로젝트 공용</x:v>
      </x:c>
      <x:c r="O36" s="114" t="str">
        <x:v>.ai-one-toast · window.AIOneToast</x:v>
      </x:c>
      <x:c r="P36" s="114" t="str">
        <x:v>data-toast · role=status</x:v>
      </x:c>
      <x:c r="Q36" s="114" t="str">
        <x:v>전체 6화면</x:v>
      </x:c>
      <x:c r="R36" s="114" t="str">
        <x:v>공통 CSS/JS·사용 확인</x:v>
      </x:c>
      <x:c r="S36" s="113" t="str">
        <x:v>P0</x:v>
      </x:c>
      <x:c r="T36" s="114" t="str">
        <x:v>중복 호출·읽기 시간·닫기·작업 알림 수명</x:v>
      </x:c>
    </x:row>
    <x:row r="37" ht="54" customHeight="1">
      <x:c r="A37" s="113" t="n">
        <x:v>32</x:v>
      </x:c>
      <x:c r="B37" s="114" t="str">
        <x:v>내비게이션</x:v>
      </x:c>
      <x:c r="C37" s="114" t="str">
        <x:v>탭</x:v>
      </x:c>
      <x:c r="D37" s="114" t="str">
        <x:v>탭</x:v>
      </x:c>
      <x:c r="E37" s="114" t="str">
        <x:v>underline · segmented · soft · count</x:v>
      </x:c>
      <x:c r="F37" s="114" t="str">
        <x:v>콘텐츠 폭</x:v>
      </x:c>
      <x:c r="G37" s="114" t="str">
        <x:v>38px/자동</x:v>
      </x:c>
      <x:c r="H37" s="114" t="str">
        <x:v>0 14px · 6px 16px</x:v>
      </x:c>
      <x:c r="I37" s="114" t="str">
        <x:v>4~5px</x:v>
      </x:c>
      <x:c r="J37" s="114" t="str">
        <x:v>12px</x:v>
      </x:c>
      <x:c r="K37" s="114" t="str">
        <x:v>6~10px</x:v>
      </x:c>
      <x:c r="L37" s="113" t="str">
        <x:v>선택</x:v>
      </x:c>
      <x:c r="M37" s="113" t="str">
        <x:v>부분</x:v>
      </x:c>
      <x:c r="N37" s="113" t="str">
        <x:v>전 프로젝트 공용</x:v>
      </x:c>
      <x:c r="O37" s="114" t="str">
        <x:v>.tab/.tab-button-list · 페이지별 tab JS</x:v>
      </x:c>
      <x:c r="P37" s="114" t="str">
        <x:v>aria-selected · tab-panel hidden</x:v>
      </x:c>
      <x:c r="Q37" s="114" t="str">
        <x:v>base .tab 정적 인스턴스 없음</x:v>
      </x:c>
      <x:c r="R37" s="114" t="str">
        <x:v>공통 CSS·페이지 계약 확인</x:v>
      </x:c>
      <x:c r="S37" s="113" t="str">
        <x:v>P0</x:v>
      </x:c>
      <x:c r="T37" s="114" t="str">
        <x:v>role tablist/tab/tabpanel·방향키·페이지별 중복 통합</x:v>
      </x:c>
    </x:row>
    <x:row r="38" ht="54" customHeight="1">
      <x:c r="A38" s="113" t="n">
        <x:v>33</x:v>
      </x:c>
      <x:c r="B38" s="114" t="str">
        <x:v>피드백</x:v>
      </x:c>
      <x:c r="C38" s="114" t="str">
        <x:v>빈 상태</x:v>
      </x:c>
      <x:c r="D38" s="114" t="str">
        <x:v>빈 상태</x:v>
      </x:c>
      <x:c r="E38" s="114" t="str">
        <x:v>title · description · action</x:v>
      </x:c>
      <x:c r="F38" s="114" t="str">
        <x:v>영역 종속</x:v>
      </x:c>
      <x:c r="G38" s="114" t="str">
        <x:v>콘텐츠 종속</x:v>
      </x:c>
      <x:c r="H38" s="114" t="str">
        <x:v>영역별</x:v>
      </x:c>
      <x:c r="I38" s="114" t="str">
        <x:v>8~12px</x:v>
      </x:c>
      <x:c r="J38" s="114" t="str">
        <x:v>12~16px</x:v>
      </x:c>
      <x:c r="K38" s="114" t="str">
        <x:v>-</x:v>
      </x:c>
      <x:c r="L38" s="113" t="str">
        <x:v>선택</x:v>
      </x:c>
      <x:c r="M38" s="113" t="str">
        <x:v>완료</x:v>
      </x:c>
      <x:c r="N38" s="113" t="str">
        <x:v>전 프로젝트 공용</x:v>
      </x:c>
      <x:c r="O38" s="114" t="str">
        <x:v>.empty-state · .empty-title · .empty-desc</x:v>
      </x:c>
      <x:c r="P38" s="114" t="str">
        <x:v>hidden/visible state</x:v>
      </x:c>
      <x:c r="Q38" s="114" t="str">
        <x:v>답변 2화면</x:v>
      </x:c>
      <x:c r="R38" s="114" t="str">
        <x:v>공통 CSS·사용 확인</x:v>
      </x:c>
      <x:c r="S38" s="113" t="str">
        <x:v>P1</x:v>
      </x:c>
      <x:c r="T38" s="114" t="str">
        <x:v>원인/다음 행동·장식 이미지 대체텍스트</x:v>
      </x:c>
    </x:row>
    <x:row r="39" ht="54" customHeight="1">
      <x:c r="A39" s="113" t="n">
        <x:v>34</x:v>
      </x:c>
      <x:c r="B39" s="114" t="str">
        <x:v>AI UI</x:v>
      </x:c>
      <x:c r="C39" s="114" t="str">
        <x:v>대화</x:v>
      </x:c>
      <x:c r="D39" s="114" t="str">
        <x:v>채팅 메시지</x:v>
      </x:c>
      <x:c r="E39" s="114" t="str">
        <x:v>user · ai · pending · typing · actions · report</x:v>
      </x:c>
      <x:c r="F39" s="114" t="str">
        <x:v>패널 폭</x:v>
      </x:c>
      <x:c r="G39" s="114" t="str">
        <x:v>콘텐츠 종속</x:v>
      </x:c>
      <x:c r="H39" s="114" t="str">
        <x:v>메시지별</x:v>
      </x:c>
      <x:c r="I39" s="114" t="str">
        <x:v>6~10px</x:v>
      </x:c>
      <x:c r="J39" s="114" t="str">
        <x:v>12~14px</x:v>
      </x:c>
      <x:c r="K39" s="114" t="str">
        <x:v>8~12px</x:v>
      </x:c>
      <x:c r="L39" s="113" t="str">
        <x:v>Y</x:v>
      </x:c>
      <x:c r="M39" s="113" t="str">
        <x:v>완료</x:v>
      </x:c>
      <x:c r="N39" s="113" t="str">
        <x:v>AI 서비스 공용</x:v>
      </x:c>
      <x:c r="O39" s="114" t="str">
        <x:v>.chat-msg · window.ChatMessage</x:v>
      </x:c>
      <x:c r="P39" s="114" t="str">
        <x:v>data-chat-message-* · action event</x:v>
      </x:c>
      <x:c r="Q39" s="114" t="str">
        <x:v>답변 2화면 · 챗봇</x:v>
      </x:c>
      <x:c r="R39" s="114" t="str">
        <x:v>공통 CSS/JS·사용 확인</x:v>
      </x:c>
      <x:c r="S39" s="113" t="str">
        <x:v>P0</x:v>
      </x:c>
      <x:c r="T39" s="114" t="str">
        <x:v>스트리밍·오류/재시도·복사/피드백·스크린리더 공지</x:v>
      </x:c>
    </x:row>
    <x:row r="40" ht="54" customHeight="1">
      <x:c r="A40" s="113" t="n">
        <x:v>35</x:v>
      </x:c>
      <x:c r="B40" s="114" t="str">
        <x:v>AI UI</x:v>
      </x:c>
      <x:c r="C40" s="114" t="str">
        <x:v>입력</x:v>
      </x:c>
      <x:c r="D40" s="114" t="str">
        <x:v>프롬프트 작성기</x:v>
      </x:c>
      <x:c r="E40" s="114" t="str">
        <x:v>default · file attached · model menu · disabled submit</x:v>
      </x:c>
      <x:c r="F40" s="114" t="str">
        <x:v>100%</x:v>
      </x:c>
      <x:c r="G40" s="114" t="str">
        <x:v>콘텐츠 종속</x:v>
      </x:c>
      <x:c r="H40" s="114" t="str">
        <x:v>12px 18px</x:v>
      </x:c>
      <x:c r="I40" s="114" t="str">
        <x:v>8px</x:v>
      </x:c>
      <x:c r="J40" s="114" t="str">
        <x:v>14px</x:v>
      </x:c>
      <x:c r="K40" s="114" t="str">
        <x:v>28px</x:v>
      </x:c>
      <x:c r="L40" s="113" t="str">
        <x:v>Y</x:v>
      </x:c>
      <x:c r="M40" s="113" t="str">
        <x:v>완료</x:v>
      </x:c>
      <x:c r="N40" s="113" t="str">
        <x:v>AI 서비스 공용</x:v>
      </x:c>
      <x:c r="O40" s="114" t="str">
        <x:v>.prompt-composer · window.AIOnePromptComposer</x:v>
      </x:c>
      <x:c r="P40" s="114" t="str">
        <x:v>data-prompt-*</x:v>
      </x:c>
      <x:c r="Q40" s="114" t="str">
        <x:v>챗봇 · 홈</x:v>
      </x:c>
      <x:c r="R40" s="114" t="str">
        <x:v>공통 CSS/JS·사용 확인</x:v>
      </x:c>
      <x:c r="S40" s="113" t="str">
        <x:v>P0</x:v>
      </x:c>
      <x:c r="T40" s="114" t="str">
        <x:v>IME·Enter/Shift+Enter·첨부 제거·전송중 상태</x:v>
      </x:c>
    </x:row>
    <x:row r="41" ht="54" customHeight="1">
      <x:c r="A41" s="113" t="n">
        <x:v>36</x:v>
      </x:c>
      <x:c r="B41" s="114" t="str">
        <x:v>AI UI</x:v>
      </x:c>
      <x:c r="C41" s="114" t="str">
        <x:v>내비게이션</x:v>
      </x:c>
      <x:c r="D41" s="114" t="str">
        <x:v>챗봇 사이드바</x:v>
      </x:c>
      <x:c r="E41" s="114" t="str">
        <x:v>singleton · collapsed responsive</x:v>
      </x:c>
      <x:c r="F41" s="114" t="str">
        <x:v>200/56px</x:v>
      </x:c>
      <x:c r="G41" s="114" t="str">
        <x:v>100vh</x:v>
      </x:c>
      <x:c r="H41" s="114" t="str">
        <x:v>영역별</x:v>
      </x:c>
      <x:c r="I41" s="114" t="str">
        <x:v>8~10px</x:v>
      </x:c>
      <x:c r="J41" s="114" t="str">
        <x:v>11~13px</x:v>
      </x:c>
      <x:c r="K41" s="114" t="str">
        <x:v>-</x:v>
      </x:c>
      <x:c r="L41" s="113" t="str">
        <x:v>Y</x:v>
      </x:c>
      <x:c r="M41" s="113" t="str">
        <x:v>부분</x:v>
      </x:c>
      <x:c r="N41" s="113" t="str">
        <x:v>AI 서비스 공용</x:v>
      </x:c>
      <x:c r="O41" s="114" t="str">
        <x:v>.chatbot-sidebar · AIOneSidebar 내부 계약</x:v>
      </x:c>
      <x:c r="P41" s="114" t="str">
        <x:v>singleton 초기화</x:v>
      </x:c>
      <x:c r="Q41" s="114" t="str">
        <x:v>챗봇</x:v>
      </x:c>
      <x:c r="R41" s="114" t="str">
        <x:v>공통 CSS·사용 확인</x:v>
      </x:c>
      <x:c r="S41" s="113" t="str">
        <x:v>P2</x:v>
      </x:c>
      <x:c r="T41" s="114" t="str">
        <x:v>전역 sidebar와 API/마크업 차이 정리</x:v>
      </x:c>
    </x:row>
    <x:row r="42" ht="54" customHeight="1">
      <x:c r="A42" s="113" t="n">
        <x:v>37</x:v>
      </x:c>
      <x:c r="B42" s="114" t="str">
        <x:v>문서 UI</x:v>
      </x:c>
      <x:c r="C42" s="114" t="str">
        <x:v>뷰어</x:v>
      </x:c>
      <x:c r="D42" s="114" t="str">
        <x:v>문서 상태 표시줄</x:v>
      </x:c>
      <x:c r="E42" s="114" t="str">
        <x:v>page · zoom · fullscreen · character count</x:v>
      </x:c>
      <x:c r="F42" s="114" t="str">
        <x:v>100%</x:v>
      </x:c>
      <x:c r="G42" s="114" t="str">
        <x:v>자동</x:v>
      </x:c>
      <x:c r="H42" s="114" t="str">
        <x:v>영역별</x:v>
      </x:c>
      <x:c r="I42" s="114" t="str">
        <x:v>6~8px</x:v>
      </x:c>
      <x:c r="J42" s="114" t="str">
        <x:v>11~12px</x:v>
      </x:c>
      <x:c r="K42" s="114" t="str">
        <x:v>6px</x:v>
      </x:c>
      <x:c r="L42" s="113" t="str">
        <x:v>Y</x:v>
      </x:c>
      <x:c r="M42" s="113" t="str">
        <x:v>완료</x:v>
      </x:c>
      <x:c r="N42" s="113" t="str">
        <x:v>AI 서비스 공용</x:v>
      </x:c>
      <x:c r="O42" s="114" t="str">
        <x:v>.document-statusbar · window.AIOneDocumentStatusBar</x:v>
      </x:c>
      <x:c r="P42" s="114" t="str">
        <x:v>data-document-statusbar-*</x:v>
      </x:c>
      <x:c r="Q42" s="114" t="str">
        <x:v>답변 2화면 · 워크스페이스</x:v>
      </x:c>
      <x:c r="R42" s="114" t="str">
        <x:v>공통 CSS/JS·사용 확인</x:v>
      </x:c>
      <x:c r="S42" s="113" t="str">
        <x:v>P0</x:v>
      </x:c>
      <x:c r="T42" s="114" t="str">
        <x:v>줌 경계·전체화면 종료·페이지 선택·대상 연결</x:v>
      </x:c>
    </x:row>
    <x:row r="43" ht="54" customHeight="1">
      <x:c r="A43" s="113" t="n">
        <x:v>38</x:v>
      </x:c>
      <x:c r="B43" s="114" t="str">
        <x:v>문서 UI</x:v>
      </x:c>
      <x:c r="C43" s="114" t="str">
        <x:v>자료</x:v>
      </x:c>
      <x:c r="D43" s="114" t="str">
        <x:v>선택된 관련자료</x:v>
      </x:c>
      <x:c r="E43" s="114" t="str">
        <x:v>list · empty guide · remove · score</x:v>
      </x:c>
      <x:c r="F43" s="114" t="str">
        <x:v>100%</x:v>
      </x:c>
      <x:c r="G43" s="114" t="str">
        <x:v>목록 종속</x:v>
      </x:c>
      <x:c r="H43" s="114" t="str">
        <x:v>8~12px</x:v>
      </x:c>
      <x:c r="I43" s="114" t="str">
        <x:v>6~8px</x:v>
      </x:c>
      <x:c r="J43" s="114" t="str">
        <x:v>11~12px</x:v>
      </x:c>
      <x:c r="K43" s="114" t="str">
        <x:v>6~10px</x:v>
      </x:c>
      <x:c r="L43" s="113" t="str">
        <x:v>Y</x:v>
      </x:c>
      <x:c r="M43" s="113" t="str">
        <x:v>부분</x:v>
      </x:c>
      <x:c r="N43" s="113" t="str">
        <x:v>AI 서비스 공용</x:v>
      </x:c>
      <x:c r="O43" s="114" t="str">
        <x:v>.selected-refs-*</x:v>
      </x:c>
      <x:c r="P43" s="114" t="str">
        <x:v>data-ref-id/data-remove-id</x:v>
      </x:c>
      <x:c r="Q43" s="114" t="str">
        <x:v>답변 2화면</x:v>
      </x:c>
      <x:c r="R43" s="114" t="str">
        <x:v>공통 CSS·사용 확인</x:v>
      </x:c>
      <x:c r="S43" s="113" t="str">
        <x:v>P1</x:v>
      </x:c>
      <x:c r="T43" s="114" t="str">
        <x:v>중복 선택·삭제·점수 의미·빈 상태</x:v>
      </x:c>
    </x:row>
    <x:row r="44" ht="54" customHeight="1">
      <x:c r="A44" s="113" t="n">
        <x:v>39</x:v>
      </x:c>
      <x:c r="B44" s="114" t="str">
        <x:v>문서 UI</x:v>
      </x:c>
      <x:c r="C44" s="114" t="str">
        <x:v>뷰어</x:v>
      </x:c>
      <x:c r="D44" s="114" t="str">
        <x:v>문서 미리보기</x:v>
      </x:c>
      <x:c r="E44" s="114" t="str">
        <x:v>body · footer · fullscreen</x:v>
      </x:c>
      <x:c r="F44" s="114" t="str">
        <x:v>패널 종속</x:v>
      </x:c>
      <x:c r="G44" s="114" t="str">
        <x:v>100%</x:v>
      </x:c>
      <x:c r="H44" s="114" t="str">
        <x:v>영역별</x:v>
      </x:c>
      <x:c r="I44" s="114" t="str">
        <x:v>8px</x:v>
      </x:c>
      <x:c r="J44" s="114" t="str">
        <x:v>11~13px</x:v>
      </x:c>
      <x:c r="K44" s="114" t="str">
        <x:v>-</x:v>
      </x:c>
      <x:c r="L44" s="113" t="str">
        <x:v>Y</x:v>
      </x:c>
      <x:c r="M44" s="113" t="str">
        <x:v>부분</x:v>
      </x:c>
      <x:c r="N44" s="113" t="str">
        <x:v>AI 서비스 공용</x:v>
      </x:c>
      <x:c r="O44" s="114" t="str">
        <x:v>.preview-body · .preview-footer</x:v>
      </x:c>
      <x:c r="P44" s="114" t="str">
        <x:v>document statusbar 연계</x:v>
      </x:c>
      <x:c r="Q44" s="114" t="str">
        <x:v>답변 2화면</x:v>
      </x:c>
      <x:c r="R44" s="114" t="str">
        <x:v>공통 CSS·사용 확인</x:v>
      </x:c>
      <x:c r="S44" s="113" t="str">
        <x:v>P1</x:v>
      </x:c>
      <x:c r="T44" s="114" t="str">
        <x:v>스크롤 대상·확대축소·빈/오류 상태</x:v>
      </x:c>
    </x:row>
    <x:row r="45" ht="54" customHeight="1">
      <x:c r="A45" s="113" t="n">
        <x:v>40</x:v>
      </x:c>
      <x:c r="B45" s="114" t="str">
        <x:v>문서 UI</x:v>
      </x:c>
      <x:c r="C45" s="114" t="str">
        <x:v>콘텐츠</x:v>
      </x:c>
      <x:c r="D45" s="114" t="str">
        <x:v>웹 문서</x:v>
      </x:c>
      <x:c r="E45" s="114" t="str">
        <x:v>page · header · section · table · diff highlight</x:v>
      </x:c>
      <x:c r="F45" s="114" t="str">
        <x:v>패널 폭</x:v>
      </x:c>
      <x:c r="G45" s="114" t="str">
        <x:v>콘텐츠 종속</x:v>
      </x:c>
      <x:c r="H45" s="114" t="str">
        <x:v>문서형</x:v>
      </x:c>
      <x:c r="I45" s="114" t="str">
        <x:v>문서형</x:v>
      </x:c>
      <x:c r="J45" s="114" t="str">
        <x:v>12~18px</x:v>
      </x:c>
      <x:c r="K45" s="114" t="str">
        <x:v>-</x:v>
      </x:c>
      <x:c r="L45" s="113" t="str">
        <x:v>N</x:v>
      </x:c>
      <x:c r="M45" s="113" t="str">
        <x:v>부분</x:v>
      </x:c>
      <x:c r="N45" s="113" t="str">
        <x:v>AI 서비스 공용</x:v>
      </x:c>
      <x:c r="O45" s="114" t="str">
        <x:v>.web-doc-*</x:v>
      </x:c>
      <x:c r="P45" s="114" t="str">
        <x:v>data 비교/검증 슬롯</x:v>
      </x:c>
      <x:c r="Q45" s="114" t="str">
        <x:v>답변 2화면</x:v>
      </x:c>
      <x:c r="R45" s="114" t="str">
        <x:v>공통 CSS·사용 확인</x:v>
      </x:c>
      <x:c r="S45" s="113" t="str">
        <x:v>P1</x:v>
      </x:c>
      <x:c r="T45" s="114" t="str">
        <x:v>인쇄/복사·긴 표·하이라이트 의미·HTML 안전성</x:v>
      </x:c>
    </x:row>
    <x:row r="46" ht="54" customHeight="1">
      <x:c r="A46" s="113" t="n">
        <x:v>41</x:v>
      </x:c>
      <x:c r="B46" s="114" t="str">
        <x:v>AI UI</x:v>
      </x:c>
      <x:c r="C46" s="114" t="str">
        <x:v>대화</x:v>
      </x:c>
      <x:c r="D46" s="114" t="str">
        <x:v>채팅 패널</x:v>
      </x:c>
      <x:c r="E46" s="114" t="str">
        <x:v>header actions · message list · input area</x:v>
      </x:c>
      <x:c r="F46" s="114" t="str">
        <x:v>패널 종속</x:v>
      </x:c>
      <x:c r="G46" s="114" t="str">
        <x:v>100%</x:v>
      </x:c>
      <x:c r="H46" s="114" t="str">
        <x:v>영역별</x:v>
      </x:c>
      <x:c r="I46" s="114" t="str">
        <x:v>8px</x:v>
      </x:c>
      <x:c r="J46" s="114" t="str">
        <x:v>12~15px</x:v>
      </x:c>
      <x:c r="K46" s="114" t="str">
        <x:v>-</x:v>
      </x:c>
      <x:c r="L46" s="113" t="str">
        <x:v>Y</x:v>
      </x:c>
      <x:c r="M46" s="113" t="str">
        <x:v>부분</x:v>
      </x:c>
      <x:c r="N46" s="113" t="str">
        <x:v>AI 서비스 공용</x:v>
      </x:c>
      <x:c r="O46" s="114" t="str">
        <x:v>.chat-input-area · .chat-window-actions</x:v>
      </x:c>
      <x:c r="P46" s="114" t="str">
        <x:v>ChatMessage/PromptComposer 조합</x:v>
      </x:c>
      <x:c r="Q46" s="114" t="str">
        <x:v>답변 2화면 · 챗봇</x:v>
      </x:c>
      <x:c r="R46" s="114" t="str">
        <x:v>공통+페이지 조합 확인</x:v>
      </x:c>
      <x:c r="S46" s="113" t="str">
        <x:v>P1</x:v>
      </x:c>
      <x:c r="T46" s="114" t="str">
        <x:v>공통 조합 계약과 페이지별 액션 소유권 분리</x:v>
      </x:c>
    </x:row>
    <x:row r="47" ht="54" customHeight="1">
      <x:c r="A47" s="113" t="n">
        <x:v>42</x:v>
      </x:c>
      <x:c r="B47" s="114" t="str">
        <x:v>브랜드</x:v>
      </x:c>
      <x:c r="C47" s="114" t="str">
        <x:v>배경</x:v>
      </x:c>
      <x:c r="D47" s="114" t="str">
        <x:v>AI-ONE 모션 배경</x:v>
      </x:c>
      <x:c r="E47" s="114" t="str">
        <x:v>default · dark · reduced-motion</x:v>
      </x:c>
      <x:c r="F47" s="114" t="str">
        <x:v>viewport</x:v>
      </x:c>
      <x:c r="G47" s="114" t="str">
        <x:v>100%</x:v>
      </x:c>
      <x:c r="H47" s="114" t="str">
        <x:v>-</x:v>
      </x:c>
      <x:c r="I47" s="114" t="str">
        <x:v>-</x:v>
      </x:c>
      <x:c r="J47" s="114" t="str">
        <x:v>-</x:v>
      </x:c>
      <x:c r="K47" s="114" t="str">
        <x:v>-</x:v>
      </x:c>
      <x:c r="L47" s="113" t="str">
        <x:v>N</x:v>
      </x:c>
      <x:c r="M47" s="113" t="str">
        <x:v>전용 유지</x:v>
      </x:c>
      <x:c r="N47" s="113" t="str">
        <x:v>AI-ONE 전용</x:v>
      </x:c>
      <x:c r="O47" s="114" t="str">
        <x:v>.ai-one-background · common.js data-ai-one-background</x:v>
      </x:c>
      <x:c r="P47" s="114" t="str">
        <x:v>data-ai-one-background</x:v>
      </x:c>
      <x:c r="Q47" s="114" t="str">
        <x:v>AI-ONE 화면</x:v>
      </x:c>
      <x:c r="R47" s="114" t="str">
        <x:v>공통 파일 내 전용 계약 확인</x:v>
      </x:c>
      <x:c r="S47" s="113" t="str">
        <x:v>P2</x:v>
      </x:c>
      <x:c r="T47" s="114" t="str">
        <x:v>범용 라이브러리에서 브랜드 전용 모듈 분리 여부</x:v>
      </x:c>
    </x:row>
    <x:row r="48" ht="54" customHeight="1">
      <x:c r="A48" s="113" t="n">
        <x:v>43</x:v>
      </x:c>
      <x:c r="B48" s="114" t="str">
        <x:v>AI-ONE 화면</x:v>
      </x:c>
      <x:c r="C48" s="114" t="str">
        <x:v>홈</x:v>
      </x:c>
      <x:c r="D48" s="114" t="str">
        <x:v>서비스 카드</x:v>
      </x:c>
      <x:c r="E48" s="114" t="str">
        <x:v>v1 · v2 · status/tone/version</x:v>
      </x:c>
      <x:c r="F48" s="114" t="str">
        <x:v>그리드 종속</x:v>
      </x:c>
      <x:c r="G48" s="114" t="str">
        <x:v>카드 종속</x:v>
      </x:c>
      <x:c r="H48" s="114" t="str">
        <x:v>16~20px</x:v>
      </x:c>
      <x:c r="I48" s="114" t="str">
        <x:v>12px</x:v>
      </x:c>
      <x:c r="J48" s="114" t="str">
        <x:v>12~18px</x:v>
      </x:c>
      <x:c r="K48" s="114" t="str">
        <x:v>12px</x:v>
      </x:c>
      <x:c r="L48" s="113" t="str">
        <x:v>Y</x:v>
      </x:c>
      <x:c r="M48" s="113" t="str">
        <x:v>전용 유지</x:v>
      </x:c>
      <x:c r="N48" s="113" t="str">
        <x:v>AI-ONE 전용</x:v>
      </x:c>
      <x:c r="O48" s="114" t="str">
        <x:v>css/ai-home.css · js/ai-home.js</x:v>
      </x:c>
      <x:c r="P48" s="114" t="str">
        <x:v>data-service-card-v2/status/tone/version</x:v>
      </x:c>
      <x:c r="Q48" s="114" t="str">
        <x:v>홈</x:v>
      </x:c>
      <x:c r="R48" s="114" t="str">
        <x:v>페이지 전용 계약 확인</x:v>
      </x:c>
      <x:c r="S48" s="113" t="str">
        <x:v>P1</x:v>
      </x:c>
      <x:c r="T48" s="114" t="str">
        <x:v>카드 상태·진입 경로·반응형·준비중 모달</x:v>
      </x:c>
    </x:row>
    <x:row r="49" ht="54" customHeight="1">
      <x:c r="A49" s="113" t="n">
        <x:v>44</x:v>
      </x:c>
      <x:c r="B49" s="114" t="str">
        <x:v>AI-ONE 화면</x:v>
      </x:c>
      <x:c r="C49" s="114" t="str">
        <x:v>홈</x:v>
      </x:c>
      <x:c r="D49" s="114" t="str">
        <x:v>작업 이력 모달</x:v>
      </x:c>
      <x:c r="E49" s="114" t="str">
        <x:v>search · table · empty · clear</x:v>
      </x:c>
      <x:c r="F49" s="114" t="str">
        <x:v>large modal</x:v>
      </x:c>
      <x:c r="G49" s="114" t="str">
        <x:v>viewport 종속</x:v>
      </x:c>
      <x:c r="H49" s="114" t="str">
        <x:v>페이지 정의</x:v>
      </x:c>
      <x:c r="I49" s="114" t="str">
        <x:v>8~12px</x:v>
      </x:c>
      <x:c r="J49" s="114" t="str">
        <x:v>11~13px</x:v>
      </x:c>
      <x:c r="K49" s="114" t="str">
        <x:v>12px</x:v>
      </x:c>
      <x:c r="L49" s="113" t="str">
        <x:v>Y</x:v>
      </x:c>
      <x:c r="M49" s="113" t="str">
        <x:v>전용 유지</x:v>
      </x:c>
      <x:c r="N49" s="113" t="str">
        <x:v>AI-ONE 전용</x:v>
      </x:c>
      <x:c r="O49" s="114" t="str">
        <x:v>ai-home.* + 공통 Modal/DataTable</x:v>
      </x:c>
      <x:c r="P49" s="114" t="str">
        <x:v>data-home-history-*</x:v>
      </x:c>
      <x:c r="Q49" s="114" t="str">
        <x:v>홈</x:v>
      </x:c>
      <x:c r="R49" s="114" t="str">
        <x:v>HTML+JS 렌더 경로 확인</x:v>
      </x:c>
      <x:c r="S49" s="113" t="str">
        <x:v>P1</x:v>
      </x:c>
      <x:c r="T49" s="114" t="str">
        <x:v>정적 목록과 JS 전체이력 데이터 소유권·검색·빈 상태</x:v>
      </x:c>
    </x:row>
    <x:row r="50" ht="54" customHeight="1">
      <x:c r="A50" s="113" t="n">
        <x:v>45</x:v>
      </x:c>
      <x:c r="B50" s="114" t="str">
        <x:v>AI-ONE 화면</x:v>
      </x:c>
      <x:c r="C50" s="114" t="str">
        <x:v>질의 분류</x:v>
      </x:c>
      <x:c r="D50" s="114" t="str">
        <x:v>질의 카드</x:v>
      </x:c>
      <x:c r="E50" s="114" t="str">
        <x:v>active · excluded · collapsed · review</x:v>
      </x:c>
      <x:c r="F50" s="114" t="str">
        <x:v>패널 종속</x:v>
      </x:c>
      <x:c r="G50" s="114" t="str">
        <x:v>콘텐츠 종속</x:v>
      </x:c>
      <x:c r="H50" s="114" t="str">
        <x:v>페이지 정의</x:v>
      </x:c>
      <x:c r="I50" s="114" t="str">
        <x:v>8~12px</x:v>
      </x:c>
      <x:c r="J50" s="114" t="str">
        <x:v>11~14px</x:v>
      </x:c>
      <x:c r="K50" s="114" t="str">
        <x:v>8~10px</x:v>
      </x:c>
      <x:c r="L50" s="113" t="str">
        <x:v>Y</x:v>
      </x:c>
      <x:c r="M50" s="113" t="str">
        <x:v>전용 유지</x:v>
      </x:c>
      <x:c r="N50" s="113" t="str">
        <x:v>AI-ONE 전용</x:v>
      </x:c>
      <x:c r="O50" s="114" t="str">
        <x:v>css/js/ai-workspace.*</x:v>
      </x:c>
      <x:c r="P50" s="114" t="str">
        <x:v>data-query-card-* · data-qid</x:v>
      </x:c>
      <x:c r="Q50" s="114" t="str">
        <x:v>워크스페이스</x:v>
      </x:c>
      <x:c r="R50" s="114" t="str">
        <x:v>페이지 전용 계약 확인</x:v>
      </x:c>
      <x:c r="S50" s="113" t="str">
        <x:v>P0</x:v>
      </x:c>
      <x:c r="T50" s="114" t="str">
        <x:v>선택/제외/수정/삭제 상태와 목록-상세 동기화</x:v>
      </x:c>
    </x:row>
    <x:row r="51" ht="54" customHeight="1">
      <x:c r="A51" s="113" t="n">
        <x:v>46</x:v>
      </x:c>
      <x:c r="B51" s="114" t="str">
        <x:v>AI-ONE 화면</x:v>
      </x:c>
      <x:c r="C51" s="114" t="str">
        <x:v>질의 분류</x:v>
      </x:c>
      <x:c r="D51" s="114" t="str">
        <x:v>질의 툴바/목록</x:v>
      </x:c>
      <x:c r="E51" s="114" t="str">
        <x:v>filter · count · sort · upload summary</x:v>
      </x:c>
      <x:c r="F51" s="114" t="str">
        <x:v>패널 종속</x:v>
      </x:c>
      <x:c r="G51" s="114" t="str">
        <x:v>100%</x:v>
      </x:c>
      <x:c r="H51" s="114" t="str">
        <x:v>페이지 정의</x:v>
      </x:c>
      <x:c r="I51" s="114" t="str">
        <x:v>8px</x:v>
      </x:c>
      <x:c r="J51" s="114" t="str">
        <x:v>11~13px</x:v>
      </x:c>
      <x:c r="K51" s="114" t="str">
        <x:v>6~10px</x:v>
      </x:c>
      <x:c r="L51" s="113" t="str">
        <x:v>Y</x:v>
      </x:c>
      <x:c r="M51" s="113" t="str">
        <x:v>전용 유지</x:v>
      </x:c>
      <x:c r="N51" s="113" t="str">
        <x:v>AI-ONE 전용</x:v>
      </x:c>
      <x:c r="O51" s="114" t="str">
        <x:v>css/js/ai-workspace.*</x:v>
      </x:c>
      <x:c r="P51" s="114" t="str">
        <x:v>data-filter · data-question-*</x:v>
      </x:c>
      <x:c r="Q51" s="114" t="str">
        <x:v>워크스페이스</x:v>
      </x:c>
      <x:c r="R51" s="114" t="str">
        <x:v>페이지 전용 계약 확인</x:v>
      </x:c>
      <x:c r="S51" s="113" t="str">
        <x:v>P1</x:v>
      </x:c>
      <x:c r="T51" s="114" t="str">
        <x:v>필터 수치·선택 이동·빈 상태·스크롤</x:v>
      </x:c>
    </x:row>
    <x:row r="52" ht="54" customHeight="1">
      <x:c r="A52" s="113" t="n">
        <x:v>47</x:v>
      </x:c>
      <x:c r="B52" s="114" t="str">
        <x:v>AI-ONE 화면</x:v>
      </x:c>
      <x:c r="C52" s="114" t="str">
        <x:v>질의 분류</x:v>
      </x:c>
      <x:c r="D52" s="114" t="str">
        <x:v>원문 비교/분류 결과</x:v>
      </x:c>
      <x:c r="E52" s="114" t="str">
        <x:v>source · extracted · department · confidence</x:v>
      </x:c>
      <x:c r="F52" s="114" t="str">
        <x:v>중앙 패널</x:v>
      </x:c>
      <x:c r="G52" s="114" t="str">
        <x:v>100%</x:v>
      </x:c>
      <x:c r="H52" s="114" t="str">
        <x:v>페이지 정의</x:v>
      </x:c>
      <x:c r="I52" s="114" t="str">
        <x:v>8~12px</x:v>
      </x:c>
      <x:c r="J52" s="114" t="str">
        <x:v>11~14px</x:v>
      </x:c>
      <x:c r="K52" s="114" t="str">
        <x:v>6~10px</x:v>
      </x:c>
      <x:c r="L52" s="113" t="str">
        <x:v>Y</x:v>
      </x:c>
      <x:c r="M52" s="113" t="str">
        <x:v>전용 유지</x:v>
      </x:c>
      <x:c r="N52" s="113" t="str">
        <x:v>AI-ONE 전용</x:v>
      </x:c>
      <x:c r="O52" s="114" t="str">
        <x:v>css/js/ai-workspace.* + DocumentStatusBar/ProgressBar</x:v>
      </x:c>
      <x:c r="P52" s="114" t="str">
        <x:v>data-result-* · data-confidence</x:v>
      </x:c>
      <x:c r="Q52" s="114" t="str">
        <x:v>워크스페이스</x:v>
      </x:c>
      <x:c r="R52" s="114" t="str">
        <x:v>페이지 전용 계약 확인</x:v>
      </x:c>
      <x:c r="S52" s="113" t="str">
        <x:v>P0</x:v>
      </x:c>
      <x:c r="T52" s="114" t="str">
        <x:v>원문-결과 매핑·신뢰도 경계·편집 후 상태</x:v>
      </x:c>
    </x:row>
    <x:row r="53" ht="54" customHeight="1">
      <x:c r="A53" s="113" t="n">
        <x:v>48</x:v>
      </x:c>
      <x:c r="B53" s="114" t="str">
        <x:v>AI-ONE 화면</x:v>
      </x:c>
      <x:c r="C53" s="114" t="str">
        <x:v>알림</x:v>
      </x:c>
      <x:c r="D53" s="114" t="str">
        <x:v>실국별 알림 담당자</x:v>
      </x:c>
      <x:c r="E53" s="114" t="str">
        <x:v>org tree · department · staff select · search</x:v>
      </x:c>
      <x:c r="F53" s="114" t="str">
        <x:v>large modal</x:v>
      </x:c>
      <x:c r="G53" s="114" t="str">
        <x:v>viewport 종속</x:v>
      </x:c>
      <x:c r="H53" s="114" t="str">
        <x:v>페이지 정의</x:v>
      </x:c>
      <x:c r="I53" s="114" t="str">
        <x:v>8px</x:v>
      </x:c>
      <x:c r="J53" s="114" t="str">
        <x:v>11~13px</x:v>
      </x:c>
      <x:c r="K53" s="114" t="str">
        <x:v>6~10px</x:v>
      </x:c>
      <x:c r="L53" s="113" t="str">
        <x:v>Y</x:v>
      </x:c>
      <x:c r="M53" s="113" t="str">
        <x:v>전용 유지</x:v>
      </x:c>
      <x:c r="N53" s="113" t="str">
        <x:v>AI-ONE 전용</x:v>
      </x:c>
      <x:c r="O53" s="114" t="str">
        <x:v>ai-workspace.* notification-assignee</x:v>
      </x:c>
      <x:c r="P53" s="114" t="str">
        <x:v>data-notification-*</x:v>
      </x:c>
      <x:c r="Q53" s="114" t="str">
        <x:v>워크스페이스</x:v>
      </x:c>
      <x:c r="R53" s="114" t="str">
        <x:v>대규모 정적 계약 확인</x:v>
      </x:c>
      <x:c r="S53" s="113" t="str">
        <x:v>P0</x:v>
      </x:c>
      <x:c r="T53" s="114" t="str">
        <x:v>트리 키보드·검색·78명 상태·저장/취소·중첩 레이어</x:v>
      </x:c>
    </x:row>
    <x:row r="54" ht="54" customHeight="1">
      <x:c r="A54" s="113" t="n">
        <x:v>49</x:v>
      </x:c>
      <x:c r="B54" s="114" t="str">
        <x:v>AI-ONE 화면</x:v>
      </x:c>
      <x:c r="C54" s="114" t="str">
        <x:v>설정</x:v>
      </x:c>
      <x:c r="D54" s="114" t="str">
        <x:v>분류 룰 설정 사이드팝</x:v>
      </x:c>
      <x:c r="E54" s="114" t="str">
        <x:v>list · form · include/exclude tags · priority</x:v>
      </x:c>
      <x:c r="F54" s="114" t="str">
        <x:v>xlarge drawer</x:v>
      </x:c>
      <x:c r="G54" s="114" t="str">
        <x:v>100vh</x:v>
      </x:c>
      <x:c r="H54" s="114" t="str">
        <x:v>페이지 정의</x:v>
      </x:c>
      <x:c r="I54" s="114" t="str">
        <x:v>8px</x:v>
      </x:c>
      <x:c r="J54" s="114" t="str">
        <x:v>11~13px</x:v>
      </x:c>
      <x:c r="K54" s="114" t="str">
        <x:v>6~10px</x:v>
      </x:c>
      <x:c r="L54" s="113" t="str">
        <x:v>Y</x:v>
      </x:c>
      <x:c r="M54" s="113" t="str">
        <x:v>전용 유지</x:v>
      </x:c>
      <x:c r="N54" s="113" t="str">
        <x:v>AI-ONE 전용</x:v>
      </x:c>
      <x:c r="O54" s="114" t="str">
        <x:v>ai-workspace.* rule settings + AIOneSidePop</x:v>
      </x:c>
      <x:c r="P54" s="114" t="str">
        <x:v>data-rule-*</x:v>
      </x:c>
      <x:c r="Q54" s="114" t="str">
        <x:v>워크스페이스</x:v>
      </x:c>
      <x:c r="R54" s="114" t="str">
        <x:v>페이지 전용 계약 확인</x:v>
      </x:c>
      <x:c r="S54" s="113" t="str">
        <x:v>P0</x:v>
      </x:c>
      <x:c r="T54" s="114" t="str">
        <x:v>신규/수정/삭제·충돌·저장·모달 중첩</x:v>
      </x:c>
    </x:row>
    <x:row r="55" ht="54" customHeight="1">
      <x:c r="A55" s="113" t="n">
        <x:v>50</x:v>
      </x:c>
      <x:c r="B55" s="114" t="str">
        <x:v>AI-ONE 화면</x:v>
      </x:c>
      <x:c r="C55" s="114" t="str">
        <x:v>답변서</x:v>
      </x:c>
      <x:c r="D55" s="114" t="str">
        <x:v>답변서 초안 편집기</x:v>
      </x:c>
      <x:c r="E55" s="114" t="str">
        <x:v>view · edit · version · fullscreen</x:v>
      </x:c>
      <x:c r="F55" s="114" t="str">
        <x:v>중앙 패널</x:v>
      </x:c>
      <x:c r="G55" s="114" t="str">
        <x:v>100%</x:v>
      </x:c>
      <x:c r="H55" s="114" t="str">
        <x:v>페이지 정의</x:v>
      </x:c>
      <x:c r="I55" s="114" t="str">
        <x:v>8~12px</x:v>
      </x:c>
      <x:c r="J55" s="114" t="str">
        <x:v>12~16px</x:v>
      </x:c>
      <x:c r="K55" s="114" t="str">
        <x:v>-</x:v>
      </x:c>
      <x:c r="L55" s="113" t="str">
        <x:v>Y</x:v>
      </x:c>
      <x:c r="M55" s="113" t="str">
        <x:v>전용 유지</x:v>
      </x:c>
      <x:c r="N55" s="113" t="str">
        <x:v>AI-ONE 전용</x:v>
      </x:c>
      <x:c r="O55" s="114" t="str">
        <x:v>ai-answer*.css/js</x:v>
      </x:c>
      <x:c r="P55" s="114" t="str">
        <x:v>data-draft-* · data-answer-draft-*</x:v>
      </x:c>
      <x:c r="Q55" s="114" t="str">
        <x:v>답변 2화면</x:v>
      </x:c>
      <x:c r="R55" s="114" t="str">
        <x:v>페이지 전용 계약 확인</x:v>
      </x:c>
      <x:c r="S55" s="113" t="str">
        <x:v>P0</x:v>
      </x:c>
      <x:c r="T55" s="114" t="str">
        <x:v>편집/저장/버전 전환·전체화면·미저장 상태</x:v>
      </x:c>
    </x:row>
    <x:row r="56" ht="54" customHeight="1">
      <x:c r="A56" s="113" t="n">
        <x:v>51</x:v>
      </x:c>
      <x:c r="B56" s="114" t="str">
        <x:v>AI-ONE 화면</x:v>
      </x:c>
      <x:c r="C56" s="114" t="str">
        <x:v>답변서</x:v>
      </x:c>
      <x:c r="D56" s="114" t="str">
        <x:v>AI 참조소스 검색/파일</x:v>
      </x:c>
      <x:c r="E56" s="114" t="str">
        <x:v>smart search · recommendation · selected · apply</x:v>
      </x:c>
      <x:c r="F56" s="114" t="str">
        <x:v>좌측 패널</x:v>
      </x:c>
      <x:c r="G56" s="114" t="str">
        <x:v>100%</x:v>
      </x:c>
      <x:c r="H56" s="114" t="str">
        <x:v>페이지 정의</x:v>
      </x:c>
      <x:c r="I56" s="114" t="str">
        <x:v>8px</x:v>
      </x:c>
      <x:c r="J56" s="114" t="str">
        <x:v>11~13px</x:v>
      </x:c>
      <x:c r="K56" s="114" t="str">
        <x:v>6~10px</x:v>
      </x:c>
      <x:c r="L56" s="113" t="str">
        <x:v>Y</x:v>
      </x:c>
      <x:c r="M56" s="113" t="str">
        <x:v>전용 유지</x:v>
      </x:c>
      <x:c r="N56" s="113" t="str">
        <x:v>AI-ONE 전용</x:v>
      </x:c>
      <x:c r="O56" s="114" t="str">
        <x:v>ai-answer-after.*</x:v>
      </x:c>
      <x:c r="P56" s="114" t="str">
        <x:v>data-rec-* · data-source-* · AIOneAgentBridge</x:v>
      </x:c>
      <x:c r="Q56" s="114" t="str">
        <x:v>answer-after</x:v>
      </x:c>
      <x:c r="R56" s="114" t="str">
        <x:v>페이지 전용 계약 확인</x:v>
      </x:c>
      <x:c r="S56" s="113" t="str">
        <x:v>P0</x:v>
      </x:c>
      <x:c r="T56" s="114" t="str">
        <x:v>검색/선택/등록·중복·로딩/실패·mock/live 경계</x:v>
      </x:c>
    </x:row>
    <x:row r="57" ht="54" customHeight="1">
      <x:c r="A57" s="113" t="n">
        <x:v>52</x:v>
      </x:c>
      <x:c r="B57" s="114" t="str">
        <x:v>AI-ONE 화면</x:v>
      </x:c>
      <x:c r="C57" s="114" t="str">
        <x:v>답변서</x:v>
      </x:c>
      <x:c r="D57" s="114" t="str">
        <x:v>근거 상세/검증</x:v>
      </x:c>
      <x:c r="E57" s="114" t="str">
        <x:v>valid/warn/error · highlight · reference detail</x:v>
      </x:c>
      <x:c r="F57" s="114" t="str">
        <x:v>분할 패널</x:v>
      </x:c>
      <x:c r="G57" s="114" t="str">
        <x:v>100%</x:v>
      </x:c>
      <x:c r="H57" s="114" t="str">
        <x:v>페이지 정의</x:v>
      </x:c>
      <x:c r="I57" s="114" t="str">
        <x:v>8px</x:v>
      </x:c>
      <x:c r="J57" s="114" t="str">
        <x:v>11~14px</x:v>
      </x:c>
      <x:c r="K57" s="114" t="str">
        <x:v>6~10px</x:v>
      </x:c>
      <x:c r="L57" s="113" t="str">
        <x:v>Y</x:v>
      </x:c>
      <x:c r="M57" s="113" t="str">
        <x:v>전용 유지</x:v>
      </x:c>
      <x:c r="N57" s="113" t="str">
        <x:v>AI-ONE 전용</x:v>
      </x:c>
      <x:c r="O57" s="114" t="str">
        <x:v>ai-answer*.css/js</x:v>
      </x:c>
      <x:c r="P57" s="114" t="str">
        <x:v>data-vd-* · data-verify-*</x:v>
      </x:c>
      <x:c r="Q57" s="114" t="str">
        <x:v>답변 2화면</x:v>
      </x:c>
      <x:c r="R57" s="114" t="str">
        <x:v>페이지 전용 계약 확인</x:v>
      </x:c>
      <x:c r="S57" s="113" t="str">
        <x:v>P0</x:v>
      </x:c>
      <x:c r="T57" s="114" t="str">
        <x:v>문장-근거 연결·상태 색상 외 표현·하이라이트 토글</x:v>
      </x:c>
    </x:row>
    <x:row r="58" ht="54" customHeight="1">
      <x:c r="A58" s="113" t="n">
        <x:v>53</x:v>
      </x:c>
      <x:c r="B58" s="114" t="str">
        <x:v>AI-ONE 화면</x:v>
      </x:c>
      <x:c r="C58" s="114" t="str">
        <x:v>답변서</x:v>
      </x:c>
      <x:c r="D58" s="114" t="str">
        <x:v>답변서 비교 뷰</x:v>
      </x:c>
      <x:c r="E58" s="114" t="str">
        <x:v>version compare · answer compare · diff</x:v>
      </x:c>
      <x:c r="F58" s="114" t="str">
        <x:v>large/fullscreen</x:v>
      </x:c>
      <x:c r="G58" s="114" t="str">
        <x:v>viewport 종속</x:v>
      </x:c>
      <x:c r="H58" s="114" t="str">
        <x:v>페이지 정의</x:v>
      </x:c>
      <x:c r="I58" s="114" t="str">
        <x:v>8px</x:v>
      </x:c>
      <x:c r="J58" s="114" t="str">
        <x:v>11~14px</x:v>
      </x:c>
      <x:c r="K58" s="114" t="str">
        <x:v>6~10px</x:v>
      </x:c>
      <x:c r="L58" s="113" t="str">
        <x:v>Y</x:v>
      </x:c>
      <x:c r="M58" s="113" t="str">
        <x:v>전용 유지</x:v>
      </x:c>
      <x:c r="N58" s="113" t="str">
        <x:v>AI-ONE 전용</x:v>
      </x:c>
      <x:c r="O58" s="114" t="str">
        <x:v>ai-answer-after.*</x:v>
      </x:c>
      <x:c r="P58" s="114" t="str">
        <x:v>data-compare-viewer · AgentBridge diff APIs</x:v>
      </x:c>
      <x:c r="Q58" s="114" t="str">
        <x:v>answer-after</x:v>
      </x:c>
      <x:c r="R58" s="114" t="str">
        <x:v>페이지 전용 계약 확인</x:v>
      </x:c>
      <x:c r="S58" s="113" t="str">
        <x:v>P0</x:v>
      </x:c>
      <x:c r="T58" s="114" t="str">
        <x:v>비교 대상 선택·차이 없음/실패·긴 문서 스크롤</x:v>
      </x:c>
    </x:row>
    <x:row r="59" ht="54" customHeight="1">
      <x:c r="A59" s="113" t="n">
        <x:v>54</x:v>
      </x:c>
      <x:c r="B59" s="114" t="str">
        <x:v>AI-ONE 화면</x:v>
      </x:c>
      <x:c r="C59" s="114" t="str">
        <x:v>챗봇</x:v>
      </x:c>
      <x:c r="D59" s="114" t="str">
        <x:v>오류 신고 드로어/업로드</x:v>
      </x:c>
      <x:c r="E59" s="114" t="str">
        <x:v>form · upload · success/error</x:v>
      </x:c>
      <x:c r="F59" s="114" t="str">
        <x:v>drawer</x:v>
      </x:c>
      <x:c r="G59" s="114" t="str">
        <x:v>100vh</x:v>
      </x:c>
      <x:c r="H59" s="114" t="str">
        <x:v>페이지 정의</x:v>
      </x:c>
      <x:c r="I59" s="114" t="str">
        <x:v>8px</x:v>
      </x:c>
      <x:c r="J59" s="114" t="str">
        <x:v>11~13px</x:v>
      </x:c>
      <x:c r="K59" s="114" t="str">
        <x:v>6~10px</x:v>
      </x:c>
      <x:c r="L59" s="113" t="str">
        <x:v>Y</x:v>
      </x:c>
      <x:c r="M59" s="113" t="str">
        <x:v>전용 유지</x:v>
      </x:c>
      <x:c r="N59" s="113" t="str">
        <x:v>AI-ONE 전용</x:v>
      </x:c>
      <x:c r="O59" s="114" t="str">
        <x:v>css/js/ai-chatbot.*</x:v>
      </x:c>
      <x:c r="P59" s="114" t="str">
        <x:v>report drawer page state</x:v>
      </x:c>
      <x:c r="Q59" s="114" t="str">
        <x:v>챗봇</x:v>
      </x:c>
      <x:c r="R59" s="114" t="str">
        <x:v>페이지 전용 계약 확인</x:v>
      </x:c>
      <x:c r="S59" s="113" t="str">
        <x:v>P1</x:v>
      </x:c>
      <x:c r="T59" s="114" t="str">
        <x:v>공통 Drawer/FileUpload로 수렴 가능한지와 제출 상태</x:v>
      </x:c>
    </x:row>
    <x:row r="60" ht="54" customHeight="1">
      <x:c r="A60" s="113" t="n">
        <x:v>55</x:v>
      </x:c>
      <x:c r="B60" s="114" t="str">
        <x:v>AI-ONE 화면</x:v>
      </x:c>
      <x:c r="C60" s="114" t="str">
        <x:v>인증</x:v>
      </x:c>
      <x:c r="D60" s="114" t="str">
        <x:v>로그인 글래스 카드</x:v>
      </x:c>
      <x:c r="E60" s="114" t="str">
        <x:v>default · error · loading · dark</x:v>
      </x:c>
      <x:c r="F60" s="114" t="str">
        <x:v>card 420px 내외</x:v>
      </x:c>
      <x:c r="G60" s="114" t="str">
        <x:v>콘텐츠 종속</x:v>
      </x:c>
      <x:c r="H60" s="114" t="str">
        <x:v>24~32px</x:v>
      </x:c>
      <x:c r="I60" s="114" t="str">
        <x:v>12px</x:v>
      </x:c>
      <x:c r="J60" s="114" t="str">
        <x:v>13~18px</x:v>
      </x:c>
      <x:c r="K60" s="114" t="str">
        <x:v>16px 내외</x:v>
      </x:c>
      <x:c r="L60" s="113" t="str">
        <x:v>Y</x:v>
      </x:c>
      <x:c r="M60" s="113" t="str">
        <x:v>전용 유지</x:v>
      </x:c>
      <x:c r="N60" s="113" t="str">
        <x:v>AI-ONE 전용</x:v>
      </x:c>
      <x:c r="O60" s="114" t="str">
        <x:v>css/login.css · js/login.js</x:v>
      </x:c>
      <x:c r="P60" s="114" t="str">
        <x:v>login form submit prototype</x:v>
      </x:c>
      <x:c r="Q60" s="114" t="str">
        <x:v>로그인</x:v>
      </x:c>
      <x:c r="R60" s="114" t="str">
        <x:v>페이지 전용 계약 확인</x:v>
      </x:c>
      <x:c r="S60" s="113" t="str">
        <x:v>P1</x:v>
      </x:c>
      <x:c r="T60" s="114" t="str">
        <x:v>실인증 제외·오류/로딩·autocomplete·다크 카드 대비</x:v>
      </x:c>
    </x:row>
  </x:sheetData>
  <x:mergeCells>
    <x:mergeCell ref="A1:T2"/>
    <x:mergeCell ref="A3:T3"/>
  </x:mergeCells>
  <x:conditionalFormatting sqref="N6:N60">
    <x:cfRule type="containsText" dxfId="0" priority="1" operator="containsText" text="전 프로젝트 공용"/>
    <x:cfRule type="containsText" dxfId="1" priority="2" operator="containsText" text="AI 서비스 공용"/>
    <x:cfRule type="containsText" dxfId="2" priority="3" operator="containsText" text="AI-ONE 전용"/>
    <x:cfRule type="containsText" dxfId="13" priority="6" operator="containsText" text="전 프로젝트 공용"/>
    <x:cfRule type="containsText" dxfId="14" priority="7" operator="containsText" text="AI 서비스 공용"/>
    <x:cfRule type="containsText" dxfId="15" priority="8" operator="containsText" text="AI-ONE 전용"/>
    <x:cfRule type="containsText" dxfId="26" priority="11" operator="containsText" text="전 프로젝트 공용"/>
    <x:cfRule type="containsText" dxfId="27" priority="12" operator="containsText" text="AI 서비스 공용"/>
    <x:cfRule type="containsText" dxfId="28" priority="13" operator="containsText" text="AI-ONE 전용"/>
  </x:conditionalFormatting>
  <x:conditionalFormatting sqref="S6:S60">
    <x:cfRule type="containsText" dxfId="3" priority="4" operator="containsText" text="P0"/>
    <x:cfRule type="containsText" dxfId="4" priority="5" operator="containsText" text="P1"/>
    <x:cfRule type="containsText" dxfId="16" priority="9" operator="containsText" text="P0"/>
    <x:cfRule type="containsText" dxfId="17" priority="10" operator="containsText" text="P1"/>
    <x:cfRule type="containsText" dxfId="29" priority="14" operator="containsText" text="P0"/>
    <x:cfRule type="containsText" dxfId="30" priority="15" operator="containsText" text="P1"/>
  </x:conditionalFormatting>
  <x:dataValidations count="3">
    <x:dataValidation type="list" sqref="M6:M60">
      <x:formula1>"완료,부분,후보,전용 유지"</x:formula1>
    </x:dataValidation>
    <x:dataValidation type="list" sqref="N6:N60">
      <x:formula1>"전 프로젝트 공용,AI 서비스 공용,AI-ONE 전용"</x:formula1>
    </x:dataValidation>
    <x:dataValidation type="list" sqref="S6:S6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4d4ba01c4e42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4" hidden="0" customWidth="1"/>
    <x:col min="4" max="4" width="18" hidden="0" customWidth="1"/>
    <x:col min="5" max="5" width="34" hidden="0" customWidth="1"/>
    <x:col min="6" max="6" width="15" hidden="0" customWidth="1"/>
    <x:col min="7" max="7" width="44" hidden="0" customWidth="1"/>
    <x:col min="8" max="8" width="10" hidden="0" customWidth="1"/>
    <x:col min="9" max="9" width="44" hidden="0" customWidth="1"/>
    <x:col min="10" max="10" width="44" hidden="0" customWidth="1"/>
    <x:col min="11" max="11" width="12" hidden="0" customWidth="1"/>
    <x:col min="12" max="12" width="12" hidden="0" customWidth="1"/>
  </x:cols>
  <x:sheetData>
    <x:row r="1" ht="28" customHeight="1">
      <x:c r="A1" s="161" t="str">
        <x:v>AI-ONE Platform 프로젝트 점검표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3"/>
    </x:row>
    <x:row r="2" ht="28" customHeight="1">
      <x:c r="A2" s="164"/>
      <x:c r="B2" s="165"/>
      <x:c r="C2" s="165"/>
      <x:c r="D2" s="165"/>
      <x:c r="E2" s="165"/>
      <x:c r="F2" s="165"/>
      <x:c r="G2" s="165"/>
      <x:c r="H2" s="165"/>
      <x:c r="I2" s="165"/>
      <x:c r="J2" s="165"/>
      <x:c r="K2" s="165"/>
      <x:c r="L2" s="166"/>
    </x:row>
    <x:row r="3" ht="32" customHeight="1">
      <x:c r="A3" s="167" t="str">
        <x:v>현행 AI-ONE은 분석 기준선으로만 사용 · 구현은 local-common-ui/에 격리 · Figma 원본과 코드 규격의 일치 여부는 매핑 상태로 관리</x:v>
      </x:c>
      <x:c r="B3" s="168"/>
      <x:c r="C3" s="168"/>
      <x:c r="D3" s="168"/>
      <x:c r="E3" s="168"/>
      <x:c r="F3" s="168"/>
      <x:c r="G3" s="168"/>
      <x:c r="H3" s="168"/>
      <x:c r="I3" s="168"/>
      <x:c r="J3" s="168"/>
      <x:c r="K3" s="168"/>
      <x:c r="L3" s="169"/>
    </x:row>
    <x:row r="5" ht="36" customHeight="1">
      <x:c r="A5" s="173" t="str">
        <x:v>No.</x:v>
      </x:c>
      <x:c r="B5" s="173" t="str">
        <x:v>점검 범위</x:v>
      </x:c>
      <x:c r="C5" s="173" t="str">
        <x:v>대상</x:v>
      </x:c>
      <x:c r="D5" s="173" t="str">
        <x:v>재사용 구분</x:v>
      </x:c>
      <x:c r="E5" s="173" t="str">
        <x:v>확인 파일</x:v>
      </x:c>
      <x:c r="F5" s="173" t="str">
        <x:v>현재 상태</x:v>
      </x:c>
      <x:c r="G5" s="173" t="str">
        <x:v>근거/관찰</x:v>
      </x:c>
      <x:c r="H5" s="173" t="str">
        <x:v>위험도</x:v>
      </x:c>
      <x:c r="I5" s="173" t="str">
        <x:v>본 점검 항목</x:v>
      </x:c>
      <x:c r="J5" s="173" t="str">
        <x:v>완료 기준</x:v>
      </x:c>
      <x:c r="K5" s="173" t="str">
        <x:v>계획일</x:v>
      </x:c>
      <x:c r="L5" s="173" t="str">
        <x:v>예상시간(h)</x:v>
      </x:c>
    </x:row>
    <x:row r="6" ht="58" customHeight="1">
      <x:c r="A6" s="110" t="n">
        <x:v>1</x:v>
      </x:c>
      <x:c r="B6" s="77" t="str">
        <x:v>무영향 기준선</x:v>
      </x:c>
      <x:c r="C6" s="77" t="str">
        <x:v>기존 AI-ONE 자산</x:v>
      </x:c>
      <x:c r="D6" s="77" t="str">
        <x:v>혼합</x:v>
      </x:c>
      <x:c r="E6" s="77" t="str">
        <x:v>pages/ · css/ · js/ · assets/</x:v>
      </x:c>
      <x:c r="F6" s="91" t="str">
        <x:v>초기 확인</x:v>
      </x:c>
      <x:c r="G6" s="77" t="str">
        <x:v>현행 자산은 참조 전용; 신규 작업 경로는 local-common-ui/</x:v>
      </x:c>
      <x:c r="H6" s="91" t="str">
        <x:v>높음</x:v>
      </x:c>
      <x:c r="I6" s="77" t="str">
        <x:v>작업 전후 변경 파일과 참조 연결 여부</x:v>
      </x:c>
      <x:c r="J6" s="77" t="str">
        <x:v>기존 자산 변경 0건·신규 경로에서 기존 자산 참조 0건</x:v>
      </x:c>
      <x:c r="K6" s="91" t="str">
        <x:v>D1</x:v>
      </x:c>
      <x:c r="L6" s="93" t="n">
        <x:v>1</x:v>
      </x:c>
    </x:row>
    <x:row r="7" ht="58" customHeight="1">
      <x:c r="A7" s="111" t="n">
        <x:v>2</x:v>
      </x:c>
      <x:c r="B7" s="80" t="str">
        <x:v>UI 목록</x:v>
      </x:c>
      <x:c r="C7" s="80" t="str">
        <x:v>55개 컴포넌트</x:v>
      </x:c>
      <x:c r="D7" s="80" t="str">
        <x:v>혼합</x:v>
      </x:c>
      <x:c r="E7" s="80" t="str">
        <x:v>컴포넌트 목록</x:v>
      </x:c>
      <x:c r="F7" s="94" t="str">
        <x:v>초기 통과</x:v>
      </x:c>
      <x:c r="G7" s="80" t="str">
        <x:v>현행 코드 기준 55개 목록과 사용 범위 작성</x:v>
      </x:c>
      <x:c r="H7" s="94" t="str">
        <x:v>낮음</x:v>
      </x:c>
      <x:c r="I7" s="80" t="str">
        <x:v>누락·이름·코드 연결 재확인</x:v>
      </x:c>
      <x:c r="J7" s="80" t="str">
        <x:v>55개 행에 코드·사용 화면·재사용 구분 존재</x:v>
      </x:c>
      <x:c r="K7" s="94" t="str">
        <x:v>D1</x:v>
      </x:c>
      <x:c r="L7" s="96" t="n">
        <x:v>2</x:v>
      </x:c>
    </x:row>
    <x:row r="8" ht="58" customHeight="1">
      <x:c r="A8" s="111" t="n">
        <x:v>3</x:v>
      </x:c>
      <x:c r="B8" s="80" t="str">
        <x:v>컴포넌트 규격</x:v>
      </x:c>
      <x:c r="C8" s="80" t="str">
        <x:v>55개 컴포넌트</x:v>
      </x:c>
      <x:c r="D8" s="80" t="str">
        <x:v>혼합</x:v>
      </x:c>
      <x:c r="E8" s="80" t="str">
        <x:v>컴포넌트 목록</x:v>
      </x:c>
      <x:c r="F8" s="94" t="str">
        <x:v>초기 확인</x:v>
      </x:c>
      <x:c r="G8" s="80" t="str">
        <x:v>Variant·Size·높이·Padding·Gap·Typography·Radius 초안 존재</x:v>
      </x:c>
      <x:c r="H8" s="94" t="str">
        <x:v>중간</x:v>
      </x:c>
      <x:c r="I8" s="80" t="str">
        <x:v>코드 computed 값과 예외 규칙 확인</x:v>
      </x:c>
      <x:c r="J8" s="80" t="str">
        <x:v>각 항목에 코드 규격과 미확정 값이 구분됨</x:v>
      </x:c>
      <x:c r="K8" s="94" t="str">
        <x:v>D1</x:v>
      </x:c>
      <x:c r="L8" s="96" t="n">
        <x:v>2</x:v>
      </x:c>
    </x:row>
    <x:row r="9" ht="58" customHeight="1">
      <x:c r="A9" s="111" t="n">
        <x:v>4</x:v>
      </x:c>
      <x:c r="B9" s="80" t="str">
        <x:v>Figma-코드 매핑</x:v>
      </x:c>
      <x:c r="C9" s="80" t="str">
        <x:v>55개 컴포넌트</x:v>
      </x:c>
      <x:c r="D9" s="80" t="str">
        <x:v>혼합</x:v>
      </x:c>
      <x:c r="E9" s="80" t="str">
        <x:v>Figma·중복 매핑</x:v>
      </x:c>
      <x:c r="F9" s="94" t="str">
        <x:v>주의</x:v>
      </x:c>
      <x:c r="G9" s="80" t="str">
        <x:v>Figma 링크/Node ID가 제공되지 않아 코드 기준 제안값만 작성 가능</x:v>
      </x:c>
      <x:c r="H9" s="94" t="str">
        <x:v>높음</x:v>
      </x:c>
      <x:c r="I9" s="80" t="str">
        <x:v>Figma 이름·Property·Variant·토큰과 코드 규격 대조</x:v>
      </x:c>
      <x:c r="J9" s="80" t="str">
        <x:v>원본이 없으면 원본 확인 필요로 유지; 제공 후 일치/차이를 확정</x:v>
      </x:c>
      <x:c r="K9" s="94" t="str">
        <x:v>D1</x:v>
      </x:c>
      <x:c r="L9" s="96" t="n">
        <x:v>2</x:v>
      </x:c>
    </x:row>
    <x:row r="10" ht="58" customHeight="1">
      <x:c r="A10" s="111" t="n">
        <x:v>5</x:v>
      </x:c>
      <x:c r="B10" s="80" t="str">
        <x:v>중복/유사 분석</x:v>
      </x:c>
      <x:c r="C10" s="80" t="str">
        <x:v>Selector·API·화면 조합</x:v>
      </x:c>
      <x:c r="D10" s="80" t="str">
        <x:v>혼합</x:v>
      </x:c>
      <x:c r="E10" s="80" t="str">
        <x:v>컴포넌트 목록 · Figma·중복 매핑</x:v>
      </x:c>
      <x:c r="F10" s="94" t="str">
        <x:v>본 점검 필요</x:v>
      </x:c>
      <x:c r="G10" s="80" t="str">
        <x:v>Skeleton·Badge·Button·Sidebar·Drawer·Tab·Document·Answer 계열 후보 식별</x:v>
      </x:c>
      <x:c r="H10" s="94" t="str">
        <x:v>높음</x:v>
      </x:c>
      <x:c r="I10" s="80" t="str">
        <x:v>동일 역할/규격/런타임/상태 차이 비교</x:v>
      </x:c>
      <x:c r="J10" s="80" t="str">
        <x:v>후보별 통합/variant/전용 유지 결정과 근거 기록</x:v>
      </x:c>
      <x:c r="K10" s="94" t="str">
        <x:v>D2</x:v>
      </x:c>
      <x:c r="L10" s="96" t="n">
        <x:v>3</x:v>
      </x:c>
    </x:row>
    <x:row r="11" ht="58" customHeight="1">
      <x:c r="A11" s="111" t="n">
        <x:v>6</x:v>
      </x:c>
      <x:c r="B11" s="80" t="str">
        <x:v>공용성 구분</x:v>
      </x:c>
      <x:c r="C11" s="80" t="str">
        <x:v>55개 컴포넌트</x:v>
      </x:c>
      <x:c r="D11" s="80" t="str">
        <x:v>혼합</x:v>
      </x:c>
      <x:c r="E11" s="80" t="str">
        <x:v>컴포넌트 목록 N열</x:v>
      </x:c>
      <x:c r="F11" s="94" t="str">
        <x:v>초기 확인</x:v>
      </x:c>
      <x:c r="G11" s="80" t="str">
        <x:v>전 프로젝트 33·AI 서비스 8·AI-ONE 전용 14로 구분</x:v>
      </x:c>
      <x:c r="H11" s="94" t="str">
        <x:v>중간</x:v>
      </x:c>
      <x:c r="I11" s="80" t="str">
        <x:v>범용성·데이터 모델·브랜드 의존 재검토</x:v>
      </x:c>
      <x:c r="J11" s="80" t="str">
        <x:v>55개 모두 공용성 및 결정 사유가 기록됨</x:v>
      </x:c>
      <x:c r="K11" s="94" t="str">
        <x:v>D2</x:v>
      </x:c>
      <x:c r="L11" s="96" t="n">
        <x:v>2</x:v>
      </x:c>
    </x:row>
    <x:row r="12" ht="58" customHeight="1">
      <x:c r="A12" s="111" t="n">
        <x:v>7</x:v>
      </x:c>
      <x:c r="B12" s="80" t="str">
        <x:v>독립 작업 경로</x:v>
      </x:c>
      <x:c r="C12" s="80" t="str">
        <x:v>local-common-ui/</x:v>
      </x:c>
      <x:c r="D12" s="80" t="str">
        <x:v>전 프로젝트 공용</x:v>
      </x:c>
      <x:c r="E12" s="80" t="str">
        <x:v>신규 로컬 폴더</x:v>
      </x:c>
      <x:c r="F12" s="94" t="str">
        <x:v>계획</x:v>
      </x:c>
      <x:c r="G12" s="80" t="str">
        <x:v>현재 저장소에는 해당 폴더가 없으며 신규 독립 영역으로 계획</x:v>
      </x:c>
      <x:c r="H12" s="94" t="str">
        <x:v>높음</x:v>
      </x:c>
      <x:c r="I12" s="80" t="str">
        <x:v>기존 CSS/JS import·include·runtime 전역 충돌</x:v>
      </x:c>
      <x:c r="J12" s="80" t="str">
        <x:v>독립 index에서만 로드되고 기존 페이지에서 참조하지 않음</x:v>
      </x:c>
      <x:c r="K12" s="94" t="str">
        <x:v>D2</x:v>
      </x:c>
      <x:c r="L12" s="96" t="n">
        <x:v>1</x:v>
      </x:c>
    </x:row>
    <x:row r="13" ht="58" customHeight="1">
      <x:c r="A13" s="111" t="n">
        <x:v>8</x:v>
      </x:c>
      <x:c r="B13" s="80" t="str">
        <x:v>토큰 계약</x:v>
      </x:c>
      <x:c r="C13" s="80" t="str">
        <x:v>Color/Type/Space/Radius</x:v>
      </x:c>
      <x:c r="D13" s="80" t="str">
        <x:v>전 프로젝트 공용</x:v>
      </x:c>
      <x:c r="E13" s="80" t="str">
        <x:v>local-common-ui/css/tokens.css</x:v>
      </x:c>
      <x:c r="F13" s="94" t="str">
        <x:v>계획</x:v>
      </x:c>
      <x:c r="G13" s="80" t="str">
        <x:v>현행 ai-theme/common 값을 읽어 독립 토큰 초안 작성</x:v>
      </x:c>
      <x:c r="H13" s="94" t="str">
        <x:v>중간</x:v>
      </x:c>
      <x:c r="I13" s="80" t="str">
        <x:v>Figma Variable명과 CSS custom property 대응</x:v>
      </x:c>
      <x:c r="J13" s="80" t="str">
        <x:v>코드 토큰·Figma 제안명·값·상태가 1:1 표로 연결됨</x:v>
      </x:c>
      <x:c r="K13" s="94" t="str">
        <x:v>D2</x:v>
      </x:c>
      <x:c r="L13" s="96" t="n">
        <x:v>2</x:v>
      </x:c>
    </x:row>
    <x:row r="14" ht="58" customHeight="1">
      <x:c r="A14" s="111" t="n">
        <x:v>9</x:v>
      </x:c>
      <x:c r="B14" s="80" t="str">
        <x:v>1차 Primitive</x:v>
      </x:c>
      <x:c r="C14" s="80" t="str">
        <x:v>Token/Button/Field·Input/Badge/Icon</x:v>
      </x:c>
      <x:c r="D14" s="80" t="str">
        <x:v>전 프로젝트 공용</x:v>
      </x:c>
      <x:c r="E14" s="80" t="str">
        <x:v>local-common-ui/components/</x:v>
      </x:c>
      <x:c r="F14" s="94" t="str">
        <x:v>계획</x:v>
      </x:c>
      <x:c r="G14" s="80" t="str">
        <x:v>현행 규격을 복제·정리하되 기존 파일은 수정하지 않음</x:v>
      </x:c>
      <x:c r="H14" s="94" t="str">
        <x:v>중간</x:v>
      </x:c>
      <x:c r="I14" s="80" t="str">
        <x:v>variant/state/size/접근성·Figma Property</x:v>
      </x:c>
      <x:c r="J14" s="80" t="str">
        <x:v>독립 카탈로그에서 기본/상태/크기 샘플이 표시됨</x:v>
      </x:c>
      <x:c r="K14" s="94" t="str">
        <x:v>D3</x:v>
      </x:c>
      <x:c r="L14" s="96" t="n">
        <x:v>5</x:v>
      </x:c>
    </x:row>
    <x:row r="15" ht="58" customHeight="1">
      <x:c r="A15" s="111" t="n">
        <x:v>10</x:v>
      </x:c>
      <x:c r="B15" s="80" t="str">
        <x:v>1차 Layer</x:v>
      </x:c>
      <x:c r="C15" s="80" t="str">
        <x:v>Modal</x:v>
      </x:c>
      <x:c r="D15" s="80" t="str">
        <x:v>전 프로젝트 공용</x:v>
      </x:c>
      <x:c r="E15" s="80" t="str">
        <x:v>local-common-ui/components/modal/</x:v>
      </x:c>
      <x:c r="F15" s="94" t="str">
        <x:v>계획</x:v>
      </x:c>
      <x:c r="G15" s="80" t="str">
        <x:v>공통화 우선순위 P0 중 대표 상호작용 컴포넌트</x:v>
      </x:c>
      <x:c r="H15" s="94" t="str">
        <x:v>높음</x:v>
      </x:c>
      <x:c r="I15" s="80" t="str">
        <x:v>open/close/Escape/backdrop/focus trap/return</x:v>
      </x:c>
      <x:c r="J15" s="80" t="str">
        <x:v>독립 데모에서 키보드 흐름과 상태 계약 확인</x:v>
      </x:c>
      <x:c r="K15" s="94" t="str">
        <x:v>D3</x:v>
      </x:c>
      <x:c r="L15" s="96" t="n">
        <x:v>3</x:v>
      </x:c>
    </x:row>
    <x:row r="16" ht="58" customHeight="1">
      <x:c r="A16" s="111" t="n">
        <x:v>11</x:v>
      </x:c>
      <x:c r="B16" s="80" t="str">
        <x:v>접근성 계약</x:v>
      </x:c>
      <x:c r="C16" s="80" t="str">
        <x:v>1차 구현 6개</x:v>
      </x:c>
      <x:c r="D16" s="80" t="str">
        <x:v>전 프로젝트 공용</x:v>
      </x:c>
      <x:c r="E16" s="80" t="str">
        <x:v>local-common-ui/</x:v>
      </x:c>
      <x:c r="F16" s="94" t="str">
        <x:v>계획</x:v>
      </x:c>
      <x:c r="G16" s="80" t="str">
        <x:v>기존 접근성 유틸리티는 참조만 하고 독립 계약으로 재현</x:v>
      </x:c>
      <x:c r="H16" s="94" t="str">
        <x:v>중간</x:v>
      </x:c>
      <x:c r="I16" s="80" t="str">
        <x:v>이름·역할·상태·포커스·키보드</x:v>
      </x:c>
      <x:c r="J16" s="80" t="str">
        <x:v>대표 키보드 경로 PASS 또는 이슈 백로그</x:v>
      </x:c>
      <x:c r="K16" s="94" t="str">
        <x:v>D3.5</x:v>
      </x:c>
      <x:c r="L16" s="96" t="n">
        <x:v>1</x:v>
      </x:c>
    </x:row>
    <x:row r="17" ht="58" customHeight="1">
      <x:c r="A17" s="111" t="n">
        <x:v>12</x:v>
      </x:c>
      <x:c r="B17" s="80" t="str">
        <x:v>AI 서비스 공용</x:v>
      </x:c>
      <x:c r="C17" s="80" t="str">
        <x:v>Chat/Prompt/Document 조합</x:v>
      </x:c>
      <x:c r="D17" s="80" t="str">
        <x:v>AI 서비스 공용</x:v>
      </x:c>
      <x:c r="E17" s="80" t="str">
        <x:v>기존 common/page 자산</x:v>
      </x:c>
      <x:c r="F17" s="94" t="str">
        <x:v>계획</x:v>
      </x:c>
      <x:c r="G17" s="80" t="str">
        <x:v>이번 구현보다 규격/조합 경계 정의가 우선</x:v>
      </x:c>
      <x:c r="H17" s="94" t="str">
        <x:v>중간</x:v>
      </x:c>
      <x:c r="I17" s="80" t="str">
        <x:v>데이터 계약과 범용 primitive 의존성</x:v>
      </x:c>
      <x:c r="J17" s="80" t="str">
        <x:v>별도 매핑표에 조합 계약과 2차 후보 상태 기록</x:v>
      </x:c>
      <x:c r="K17" s="94" t="str">
        <x:v>D3.5</x:v>
      </x:c>
      <x:c r="L17" s="96" t="n">
        <x:v>1</x:v>
      </x:c>
    </x:row>
    <x:row r="18" ht="58" customHeight="1">
      <x:c r="A18" s="111" t="n">
        <x:v>13</x:v>
      </x:c>
      <x:c r="B18" s="80" t="str">
        <x:v>AI-ONE 전용</x:v>
      </x:c>
      <x:c r="C18" s="80" t="str">
        <x:v>14개 업무/브랜드 UI</x:v>
      </x:c>
      <x:c r="D18" s="80" t="str">
        <x:v>AI-ONE 전용</x:v>
      </x:c>
      <x:c r="E18" s="80" t="str">
        <x:v>기존 page 자산</x:v>
      </x:c>
      <x:c r="F18" s="94" t="str">
        <x:v>결정 완료</x:v>
      </x:c>
      <x:c r="G18" s="80" t="str">
        <x:v>기존 페이지에 유지하고 직접 변경·교체하지 않음</x:v>
      </x:c>
      <x:c r="H18" s="94" t="str">
        <x:v>낮음</x:v>
      </x:c>
      <x:c r="I18" s="80" t="str">
        <x:v>공통 primitive로 분리 가능한 내부 요소만 식별</x:v>
      </x:c>
      <x:c r="J18" s="80" t="str">
        <x:v>전용 유지 사유와 공통 후보가 구분됨</x:v>
      </x:c>
      <x:c r="K18" s="94" t="str">
        <x:v>D3.5</x:v>
      </x:c>
      <x:c r="L18" s="96" t="n">
        <x:v>0.5</x:v>
      </x:c>
    </x:row>
    <x:row r="19" ht="58" customHeight="1">
      <x:c r="A19" s="111" t="n">
        <x:v>14</x:v>
      </x:c>
      <x:c r="B19" s="80" t="str">
        <x:v>런타임 생성</x:v>
      </x:c>
      <x:c r="C19" s="80" t="str">
        <x:v>Skeleton/Chip/Layer</x:v>
      </x:c>
      <x:c r="D19" s="80" t="str">
        <x:v>혼합</x:v>
      </x:c>
      <x:c r="E19" s="80" t="str">
        <x:v>기존 common.js 참조</x:v>
      </x:c>
      <x:c r="F19" s="94" t="str">
        <x:v>본 점검 필요</x:v>
      </x:c>
      <x:c r="G19" s="80" t="str">
        <x:v>정적 코드만으로 사용 여부 확정 불가</x:v>
      </x:c>
      <x:c r="H19" s="94" t="str">
        <x:v>높음</x:v>
      </x:c>
      <x:c r="I19" s="80" t="str">
        <x:v>생성/초기화/상태 계약을 독립 데모로 재현</x:v>
      </x:c>
      <x:c r="J19" s="80" t="str">
        <x:v>기존 런타임 연결 없이 샘플 또는 백로그로 분리</x:v>
      </x:c>
      <x:c r="K19" s="94" t="str">
        <x:v>D3.5</x:v>
      </x:c>
      <x:c r="L19" s="96" t="n">
        <x:v>0.5</x:v>
      </x:c>
    </x:row>
    <x:row r="20" ht="58" customHeight="1">
      <x:c r="A20" s="111" t="n">
        <x:v>15</x:v>
      </x:c>
      <x:c r="B20" s="80" t="str">
        <x:v>독립 반응형</x:v>
      </x:c>
      <x:c r="C20" s="80" t="str">
        <x:v>local-common-ui/index.html</x:v>
      </x:c>
      <x:c r="D20" s="80" t="str">
        <x:v>전 프로젝트 공용</x:v>
      </x:c>
      <x:c r="E20" s="80" t="str">
        <x:v>신규 로컬 폴더</x:v>
      </x:c>
      <x:c r="F20" s="94" t="str">
        <x:v>계획</x:v>
      </x:c>
      <x:c r="G20" s="80" t="str">
        <x:v>기존 앱 반응형은 변경하지 않음</x:v>
      </x:c>
      <x:c r="H20" s="94" t="str">
        <x:v>중간</x:v>
      </x:c>
      <x:c r="I20" s="80" t="str">
        <x:v>320/768/1024/1440 카탈로그 레이아웃</x:v>
      </x:c>
      <x:c r="J20" s="80" t="str">
        <x:v>독립 UI 영역에서 겹침/잘림 없음</x:v>
      </x:c>
      <x:c r="K20" s="94" t="str">
        <x:v>D3.5</x:v>
      </x:c>
      <x:c r="L20" s="96" t="n">
        <x:v>1</x:v>
      </x:c>
    </x:row>
    <x:row r="21" ht="58" customHeight="1">
      <x:c r="A21" s="111" t="n">
        <x:v>16</x:v>
      </x:c>
      <x:c r="B21" s="80" t="str">
        <x:v>기존 화면 무영향</x:v>
      </x:c>
      <x:c r="C21" s="80" t="str">
        <x:v>6개 HTML</x:v>
      </x:c>
      <x:c r="D21" s="80" t="str">
        <x:v>혼합</x:v>
      </x:c>
      <x:c r="E21" s="80" t="str">
        <x:v>pages/*.html</x:v>
      </x:c>
      <x:c r="F21" s="94" t="str">
        <x:v>계획</x:v>
      </x:c>
      <x:c r="G21" s="80" t="str">
        <x:v>분석 대상일 뿐 적용·교체 대상이 아님</x:v>
      </x:c>
      <x:c r="H21" s="94" t="str">
        <x:v>높음</x:v>
      </x:c>
      <x:c r="I21" s="80" t="str">
        <x:v>작업 전후 파일 해시·git diff</x:v>
      </x:c>
      <x:c r="J21" s="80" t="str">
        <x:v>pages 변경 0건</x:v>
      </x:c>
      <x:c r="K21" s="94" t="str">
        <x:v>D3.5</x:v>
      </x:c>
      <x:c r="L21" s="96" t="n">
        <x:v>0.5</x:v>
      </x:c>
    </x:row>
    <x:row r="22" ht="58" customHeight="1">
      <x:c r="A22" s="111" t="n">
        <x:v>17</x:v>
      </x:c>
      <x:c r="B22" s="80" t="str">
        <x:v>기존 공통 자산 무영향</x:v>
      </x:c>
      <x:c r="C22" s="80" t="str">
        <x:v>공통 CSS/JS</x:v>
      </x:c>
      <x:c r="D22" s="80" t="str">
        <x:v>전 프로젝트 공용</x:v>
      </x:c>
      <x:c r="E22" s="80" t="str">
        <x:v>css/common.css · js/common.js</x:v>
      </x:c>
      <x:c r="F22" s="94" t="str">
        <x:v>계획</x:v>
      </x:c>
      <x:c r="G22" s="80" t="str">
        <x:v>별도 UI 구현의 소스 참고 대상</x:v>
      </x:c>
      <x:c r="H22" s="94" t="str">
        <x:v>높음</x:v>
      </x:c>
      <x:c r="I22" s="80" t="str">
        <x:v>직접 수정·import·include 여부</x:v>
      </x:c>
      <x:c r="J22" s="80" t="str">
        <x:v>css/js/assets 변경 0건</x:v>
      </x:c>
      <x:c r="K22" s="94" t="str">
        <x:v>D3.5</x:v>
      </x:c>
      <x:c r="L22" s="96" t="n">
        <x:v>0.5</x:v>
      </x:c>
    </x:row>
    <x:row r="23" ht="58" customHeight="1">
      <x:c r="A23" s="111" t="n">
        <x:v>18</x:v>
      </x:c>
      <x:c r="B23" s="80" t="str">
        <x:v>원격 반영</x:v>
      </x:c>
      <x:c r="C23" s="80" t="str">
        <x:v>Git remote</x:v>
      </x:c>
      <x:c r="D23" s="80" t="str">
        <x:v>혼합</x:v>
      </x:c>
      <x:c r="E23" s="80" t="str">
        <x:v>로컬 작업</x:v>
      </x:c>
      <x:c r="F23" s="94" t="str">
        <x:v>결정 완료</x:v>
      </x:c>
      <x:c r="G23" s="80" t="str">
        <x:v>사용자 요청에 따라 원격 반영하지 않음</x:v>
      </x:c>
      <x:c r="H23" s="94" t="str">
        <x:v>낮음</x:v>
      </x:c>
      <x:c r="I23" s="80" t="str">
        <x:v>push/PR/deploy 실행 여부</x:v>
      </x:c>
      <x:c r="J23" s="80" t="str">
        <x:v>원격 작업 0건</x:v>
      </x:c>
      <x:c r="K23" s="94" t="str">
        <x:v>D3.5</x:v>
      </x:c>
      <x:c r="L23" s="96" t="n">
        <x:v>0</x:v>
      </x:c>
    </x:row>
    <x:row r="24" ht="58" customHeight="1">
      <x:c r="A24" s="111" t="n">
        <x:v>19</x:v>
      </x:c>
      <x:c r="B24" s="80" t="str">
        <x:v>기술 전환</x:v>
      </x:c>
      <x:c r="C24" s="80" t="str">
        <x:v>React·백엔드/API</x:v>
      </x:c>
      <x:c r="D24" s="80" t="str">
        <x:v>AI-ONE 전용</x:v>
      </x:c>
      <x:c r="E24" s="80" t="str">
        <x:v>-</x:v>
      </x:c>
      <x:c r="F24" s="94" t="str">
        <x:v>결정 완료</x:v>
      </x:c>
      <x:c r="G24" s="80" t="str">
        <x:v>HTML/CSS/JS 및 정적 prototype/mock 유지</x:v>
      </x:c>
      <x:c r="H24" s="94" t="str">
        <x:v>낮음</x:v>
      </x:c>
      <x:c r="I24" s="80" t="str">
        <x:v>범위 이탈 여부</x:v>
      </x:c>
      <x:c r="J24" s="80" t="str">
        <x:v>React·백엔드/API 전환 0건</x:v>
      </x:c>
      <x:c r="K24" s="94" t="str">
        <x:v>D3.5</x:v>
      </x:c>
      <x:c r="L24" s="96" t="n">
        <x:v>0</x:v>
      </x:c>
    </x:row>
    <x:row r="25" ht="58" customHeight="1">
      <x:c r="A25" s="111" t="n">
        <x:v>20</x:v>
      </x:c>
      <x:c r="B25" s="80" t="str">
        <x:v>산출물 묶음</x:v>
      </x:c>
      <x:c r="C25" s="80" t="str">
        <x:v>문서·독립 UI·백로그</x:v>
      </x:c>
      <x:c r="D25" s="80" t="str">
        <x:v>혼합</x:v>
      </x:c>
      <x:c r="E25" s="80" t="str">
        <x:v>docs/ · local-common-ui/</x:v>
      </x:c>
      <x:c r="F25" s="94" t="str">
        <x:v>계획</x:v>
      </x:c>
      <x:c r="G25" s="80" t="str">
        <x:v>엑셀과 독립 로컬 UI를 인계</x:v>
      </x:c>
      <x:c r="H25" s="94" t="str">
        <x:v>중간</x:v>
      </x:c>
      <x:c r="I25" s="80" t="str">
        <x:v>경로·README·매핑표·후보·검증 증거</x:v>
      </x:c>
      <x:c r="J25" s="80" t="str">
        <x:v>산출물 정의 시트의 Y 항목 누락 없음</x:v>
      </x:c>
      <x:c r="K25" s="94" t="str">
        <x:v>D3.5</x:v>
      </x:c>
      <x:c r="L25" s="96" t="n">
        <x:v>0</x:v>
      </x:c>
    </x:row>
    <x:row r="26" ht="58" customHeight="1">
      <x:c r="A26" s="112" t="n">
        <x:v>21</x:v>
      </x:c>
      <x:c r="B26" s="83" t="str">
        <x:v>최종 인수</x:v>
      </x:c>
      <x:c r="C26" s="83" t="str">
        <x:v>전체</x:v>
      </x:c>
      <x:c r="D26" s="83" t="str">
        <x:v>혼합</x:v>
      </x:c>
      <x:c r="E26" s="83" t="str">
        <x:v>엑셀·독립 폴더·검증 로그</x:v>
      </x:c>
      <x:c r="F26" s="97" t="str">
        <x:v>계획</x:v>
      </x:c>
      <x:c r="G26" s="83" t="str">
        <x:v>사용자 최종 점검 1일 별도 확보</x:v>
      </x:c>
      <x:c r="H26" s="97" t="str">
        <x:v>중간</x:v>
      </x:c>
      <x:c r="I26" s="83" t="str">
        <x:v>Figma 미확정·P0 미완료·기존 코드 변경·원격 반영</x:v>
      </x:c>
      <x:c r="J26" s="83" t="str">
        <x:v>28시간 산출물 완료, 기존 코드 변경 0건, 원격 0건, 이후 사용자 최종 점검 가능</x:v>
      </x:c>
      <x:c r="K26" s="97" t="str">
        <x:v>D3.5</x:v>
      </x:c>
      <x:c r="L26" s="99" t="n">
        <x:v>0</x:v>
      </x:c>
    </x:row>
  </x:sheetData>
  <x:mergeCells>
    <x:mergeCell ref="A1:L2"/>
    <x:mergeCell ref="A3:L3"/>
  </x:mergeCells>
  <x:conditionalFormatting sqref="F6:F26">
    <x:cfRule type="containsText" dxfId="5" priority="1" operator="containsText" text="통과"/>
    <x:cfRule type="containsText" dxfId="6" priority="2" operator="containsText" text="주의"/>
    <x:cfRule type="containsText" dxfId="18" priority="5" operator="containsText" text="통과"/>
    <x:cfRule type="containsText" dxfId="19" priority="6" operator="containsText" text="주의"/>
    <x:cfRule type="containsText" dxfId="31" priority="9" operator="containsText" text="통과"/>
    <x:cfRule type="containsText" dxfId="32" priority="10" operator="containsText" text="주의"/>
  </x:conditionalFormatting>
  <x:conditionalFormatting sqref="H6:H26">
    <x:cfRule type="containsText" dxfId="7" priority="3" operator="containsText" text="높음"/>
    <x:cfRule type="containsText" dxfId="8" priority="4" operator="containsText" text="중간"/>
    <x:cfRule type="containsText" dxfId="20" priority="7" operator="containsText" text="높음"/>
    <x:cfRule type="containsText" dxfId="21" priority="8" operator="containsText" text="중간"/>
    <x:cfRule type="containsText" dxfId="33" priority="11" operator="containsText" text="높음"/>
    <x:cfRule type="containsText" dxfId="34" priority="12" operator="containsText" text="중간"/>
  </x:conditionalFormatting>
  <x:dataValidations count="2">
    <x:dataValidation type="list" sqref="F6:F26">
      <x:formula1>"초기 통과,초기 확인,주의,본 점검 필요,계획,PASS,ISSUE,미검증"</x:formula1>
    </x:dataValidation>
    <x:dataValidation type="list" sqref="H6:H26">
      <x:formula1>"낮음,중간,높음"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d1aa506e9143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0" hidden="0" customWidth="1"/>
    <x:col min="3" max="3" width="14" hidden="0" customWidth="1"/>
    <x:col min="4" max="4" width="24" hidden="0" customWidth="1"/>
    <x:col min="5" max="5" width="48" hidden="0" customWidth="1"/>
    <x:col min="6" max="6" width="30" hidden="0" customWidth="1"/>
    <x:col min="7" max="7" width="14" hidden="0" customWidth="1"/>
    <x:col min="8" max="8" width="14" hidden="0" customWidth="1"/>
    <x:col min="9" max="9" width="40" hidden="0" customWidth="1"/>
  </x:cols>
  <x:sheetData>
    <x:row r="1" ht="28" customHeight="1">
      <x:c r="A1" s="161" t="str">
        <x:v>3.5일 실행 일정</x:v>
      </x:c>
      <x:c r="B1" s="162"/>
      <x:c r="C1" s="162"/>
      <x:c r="D1" s="162"/>
      <x:c r="E1" s="162"/>
      <x:c r="F1" s="162"/>
      <x:c r="G1" s="162"/>
      <x:c r="H1" s="162"/>
      <x:c r="I1" s="163"/>
    </x:row>
    <x:row r="2" ht="28" customHeight="1">
      <x:c r="A2" s="164"/>
      <x:c r="B2" s="165"/>
      <x:c r="C2" s="165"/>
      <x:c r="D2" s="165"/>
      <x:c r="E2" s="165"/>
      <x:c r="F2" s="165"/>
      <x:c r="G2" s="165"/>
      <x:c r="H2" s="165"/>
      <x:c r="I2" s="166"/>
    </x:row>
    <x:row r="3" ht="32" customHeight="1">
      <x:c r="A3" s="167" t="str">
        <x:v>총 28시간 · 기존 AI-ONE 코드 변경 0건 · local-common-ui/ 독립 HTML/CSS/JS 카탈로그 · Figma-코드 매핑 기반 · 원격 반영 없음 · 사용자 최종 점검 1일 별도</x:v>
      </x:c>
      <x:c r="B3" s="168"/>
      <x:c r="C3" s="168"/>
      <x:c r="D3" s="168"/>
      <x:c r="E3" s="168"/>
      <x:c r="F3" s="168"/>
      <x:c r="G3" s="168"/>
      <x:c r="H3" s="168"/>
      <x:c r="I3" s="169"/>
    </x:row>
    <x:row r="5" ht="36" customHeight="1">
      <x:c r="A5" s="173" t="str">
        <x:v>No.</x:v>
      </x:c>
      <x:c r="B5" s="173" t="str">
        <x:v>일차</x:v>
      </x:c>
      <x:c r="C5" s="173" t="str">
        <x:v>누적 시간</x:v>
      </x:c>
      <x:c r="D5" s="173" t="str">
        <x:v>업무</x:v>
      </x:c>
      <x:c r="E5" s="173" t="str">
        <x:v>상세 범위</x:v>
      </x:c>
      <x:c r="F5" s="173" t="str">
        <x:v>단계 산출물</x:v>
      </x:c>
      <x:c r="G5" s="173" t="str">
        <x:v>예상시간(h)</x:v>
      </x:c>
      <x:c r="H5" s="173" t="str">
        <x:v>상태</x:v>
      </x:c>
      <x:c r="I5" s="173" t="str">
        <x:v>완료 조건/주의</x:v>
      </x:c>
    </x:row>
    <x:row r="6" ht="52" customHeight="1">
      <x:c r="A6" s="110" t="n">
        <x:v>1</x:v>
      </x:c>
      <x:c r="B6" s="91" t="str">
        <x:v>D1</x:v>
      </x:c>
      <x:c r="C6" s="91" t="str">
        <x:v>0~1h</x:v>
      </x:c>
      <x:c r="D6" s="77" t="str">
        <x:v>범위·무영향 기준 확정</x:v>
      </x:c>
      <x:c r="E6" s="77" t="str">
        <x:v>기존 pages/css/js/assets는 참조 전용, local-common-ui/만 신규 작업 대상으로 고정</x:v>
      </x:c>
      <x:c r="F6" s="77" t="str">
        <x:v>무영향 기준·경로 규칙</x:v>
      </x:c>
      <x:c r="G6" s="115" t="n">
        <x:v>1</x:v>
      </x:c>
      <x:c r="H6" s="91" t="str">
        <x:v>계획</x:v>
      </x:c>
      <x:c r="I6" s="78" t="str">
        <x:v>기존 코드 적용/교체와 원격 반영 금지</x:v>
      </x:c>
    </x:row>
    <x:row r="7" ht="52" customHeight="1">
      <x:c r="A7" s="111" t="n">
        <x:v>2</x:v>
      </x:c>
      <x:c r="B7" s="94" t="str">
        <x:v>D1</x:v>
      </x:c>
      <x:c r="C7" s="94" t="str">
        <x:v>1~4h</x:v>
      </x:c>
      <x:c r="D7" s="80" t="str">
        <x:v>현재 UI 목록 확정</x:v>
      </x:c>
      <x:c r="E7" s="80" t="str">
        <x:v>55개 컴포넌트의 이름·코드 연결·런타임·사용 화면·공용성 재확인</x:v>
      </x:c>
      <x:c r="F7" s="80" t="str">
        <x:v>컴포넌트 목록 v1</x:v>
      </x:c>
      <x:c r="G7" s="116" t="n">
        <x:v>3</x:v>
      </x:c>
      <x:c r="H7" s="94" t="str">
        <x:v>완료</x:v>
      </x:c>
      <x:c r="I7" s="81" t="str">
        <x:v>현재 코드 기준 초안 55개 존재</x:v>
      </x:c>
    </x:row>
    <x:row r="8" ht="52" customHeight="1">
      <x:c r="A8" s="111" t="n">
        <x:v>3</x:v>
      </x:c>
      <x:c r="B8" s="94" t="str">
        <x:v>D1</x:v>
      </x:c>
      <x:c r="C8" s="94" t="str">
        <x:v>4~8h</x:v>
      </x:c>
      <x:c r="D8" s="80" t="str">
        <x:v>규격·Figma 매핑 기반</x:v>
      </x:c>
      <x:c r="E8" s="80" t="str">
        <x:v>Variant·Size·높이·Padding·Gap·Typography·Radius와 Figma 제안명/Property/Node 상태 정리</x:v>
      </x:c>
      <x:c r="F8" s="80" t="str">
        <x:v>Figma·코드 매핑 v1</x:v>
      </x:c>
      <x:c r="G8" s="116" t="n">
        <x:v>4</x:v>
      </x:c>
      <x:c r="H8" s="94" t="str">
        <x:v>계획</x:v>
      </x:c>
      <x:c r="I8" s="81" t="str">
        <x:v>Figma 원본 미제공 항목은 확인 필요로 표시</x:v>
      </x:c>
    </x:row>
    <x:row r="9" ht="52" customHeight="1">
      <x:c r="A9" s="111" t="n">
        <x:v>4</x:v>
      </x:c>
      <x:c r="B9" s="94" t="str">
        <x:v>D2</x:v>
      </x:c>
      <x:c r="C9" s="94" t="str">
        <x:v>8~11h</x:v>
      </x:c>
      <x:c r="D9" s="80" t="str">
        <x:v>중복·유사 후보 분석</x:v>
      </x:c>
      <x:c r="E9" s="80" t="str">
        <x:v>Skeleton·Badge·Button·Sidebar·Layer·Tab·Document·Answer 계열의 역할/규격/런타임 차이 비교</x:v>
      </x:c>
      <x:c r="F9" s="80" t="str">
        <x:v>중복·유사 후보표</x:v>
      </x:c>
      <x:c r="G9" s="116" t="n">
        <x:v>3</x:v>
      </x:c>
      <x:c r="H9" s="94" t="str">
        <x:v>계획</x:v>
      </x:c>
      <x:c r="I9" s="81" t="str">
        <x:v>후보를 곧바로 통합하지 않고 결정 근거 작성</x:v>
      </x:c>
    </x:row>
    <x:row r="10" ht="52" customHeight="1">
      <x:c r="A10" s="111" t="n">
        <x:v>5</x:v>
      </x:c>
      <x:c r="B10" s="94" t="str">
        <x:v>D2</x:v>
      </x:c>
      <x:c r="C10" s="94" t="str">
        <x:v>11~13h</x:v>
      </x:c>
      <x:c r="D10" s="80" t="str">
        <x:v>공용/AI/전용 결정</x:v>
      </x:c>
      <x:c r="E10" s="80" t="str">
        <x:v>전 프로젝트 공용·AI 서비스 공용·AI-ONE 전용 분류와 1차 구현 우선순위 확정</x:v>
      </x:c>
      <x:c r="F10" s="80" t="str">
        <x:v>공용성·우선순위표</x:v>
      </x:c>
      <x:c r="G10" s="116" t="n">
        <x:v>2</x:v>
      </x:c>
      <x:c r="H10" s="94" t="str">
        <x:v>계획</x:v>
      </x:c>
      <x:c r="I10" s="81" t="str">
        <x:v>AI-ONE 전용은 기존 페이지에 유지</x:v>
      </x:c>
    </x:row>
    <x:row r="11" ht="52" customHeight="1">
      <x:c r="A11" s="111" t="n">
        <x:v>6</x:v>
      </x:c>
      <x:c r="B11" s="94" t="str">
        <x:v>D2</x:v>
      </x:c>
      <x:c r="C11" s="94" t="str">
        <x:v>13~16h</x:v>
      </x:c>
      <x:c r="D11" s="80" t="str">
        <x:v>독립 UI 골격·토큰 계약</x:v>
      </x:c>
      <x:c r="E11" s="80" t="str">
        <x:v>local-common-ui/의 index·README·tokens·component 구조와 Figma Variable↔CSS 토큰 표준 정의</x:v>
      </x:c>
      <x:c r="F11" s="80" t="str">
        <x:v>독립 UI 골격·토큰표</x:v>
      </x:c>
      <x:c r="G11" s="116" t="n">
        <x:v>3</x:v>
      </x:c>
      <x:c r="H11" s="94" t="str">
        <x:v>계획</x:v>
      </x:c>
      <x:c r="I11" s="81" t="str">
        <x:v>기존 공통 CSS/JS를 직접 연결하지 않음</x:v>
      </x:c>
    </x:row>
    <x:row r="12" ht="52" customHeight="1">
      <x:c r="A12" s="111" t="n">
        <x:v>7</x:v>
      </x:c>
      <x:c r="B12" s="94" t="str">
        <x:v>D3</x:v>
      </x:c>
      <x:c r="C12" s="94" t="str">
        <x:v>16~21h</x:v>
      </x:c>
      <x:c r="D12" s="80" t="str">
        <x:v>1차 Primitive 구현</x:v>
      </x:c>
      <x:c r="E12" s="80" t="str">
        <x:v>Token·Button·Field/Input·Badge·Icon을 현행 규격 기반으로 별도 HTML/CSS/JS 영역에 구현</x:v>
      </x:c>
      <x:c r="F12" s="80" t="str">
        <x:v>Primitive 샘플 5종</x:v>
      </x:c>
      <x:c r="G12" s="116" t="n">
        <x:v>5</x:v>
      </x:c>
      <x:c r="H12" s="94" t="str">
        <x:v>계획</x:v>
      </x:c>
      <x:c r="I12" s="81" t="str">
        <x:v>기존 파일은 참고만 하고 독립 class/API 사용</x:v>
      </x:c>
    </x:row>
    <x:row r="13" ht="52" customHeight="1">
      <x:c r="A13" s="111" t="n">
        <x:v>8</x:v>
      </x:c>
      <x:c r="B13" s="94" t="str">
        <x:v>D3</x:v>
      </x:c>
      <x:c r="C13" s="94" t="str">
        <x:v>21~24h</x:v>
      </x:c>
      <x:c r="D13" s="80" t="str">
        <x:v>1차 Layer 구현</x:v>
      </x:c>
      <x:c r="E13" s="80" t="str">
        <x:v>Modal 1종의 Variant·접근성·open/close/Escape/backdrop/focus 계약을 독립 데모로 구현</x:v>
      </x:c>
      <x:c r="F13" s="80" t="str">
        <x:v>Modal 독립 샘플</x:v>
      </x:c>
      <x:c r="G13" s="116" t="n">
        <x:v>3</x:v>
      </x:c>
      <x:c r="H13" s="94" t="str">
        <x:v>계획</x:v>
      </x:c>
      <x:c r="I13" s="81" t="str">
        <x:v>기존 AIOneModal을 교체하거나 연결하지 않음</x:v>
      </x:c>
    </x:row>
    <x:row r="14" ht="52" customHeight="1">
      <x:c r="A14" s="111" t="n">
        <x:v>9</x:v>
      </x:c>
      <x:c r="B14" s="94" t="str">
        <x:v>D3.5</x:v>
      </x:c>
      <x:c r="C14" s="94" t="str">
        <x:v>24~26h</x:v>
      </x:c>
      <x:c r="D14" s="80" t="str">
        <x:v>독립 카탈로그 스모크</x:v>
      </x:c>
      <x:c r="E14" s="80" t="str">
        <x:v>6개 1차 샘플의 상태·키보드·320/768/1024/1440 대표폭 확인</x:v>
      </x:c>
      <x:c r="F14" s="80" t="str">
        <x:v>브라우저 근거·이슈 로그</x:v>
      </x:c>
      <x:c r="G14" s="116" t="n">
        <x:v>2</x:v>
      </x:c>
      <x:c r="H14" s="94" t="str">
        <x:v>계획</x:v>
      </x:c>
      <x:c r="I14" s="81" t="str">
        <x:v>기존 AI-ONE 화면 회귀 테스트가 아니라 독립 영역 검증</x:v>
      </x:c>
    </x:row>
    <x:row r="15" ht="52" customHeight="1">
      <x:c r="A15" s="111" t="n">
        <x:v>10</x:v>
      </x:c>
      <x:c r="B15" s="94" t="str">
        <x:v>D3.5</x:v>
      </x:c>
      <x:c r="C15" s="94" t="str">
        <x:v>26~27h</x:v>
      </x:c>
      <x:c r="D15" s="80" t="str">
        <x:v>Figma 차이·2차 백로그</x:v>
      </x:c>
      <x:c r="E15" s="80" t="str">
        <x:v>Figma 미확정, 중복 후보, 2차 공통화 항목을 우선순위와 완료 기준으로 정리</x:v>
      </x:c>
      <x:c r="F15" s="80" t="str">
        <x:v>매핑 차이·2차 백로그</x:v>
      </x:c>
      <x:c r="G15" s="116" t="n">
        <x:v>1</x:v>
      </x:c>
      <x:c r="H15" s="94" t="str">
        <x:v>계획</x:v>
      </x:c>
      <x:c r="I15" s="81" t="str">
        <x:v>Figma 링크 제공 전 실제 일치 판정 보류</x:v>
      </x:c>
    </x:row>
    <x:row r="16" ht="52" customHeight="1">
      <x:c r="A16" s="112" t="n">
        <x:v>11</x:v>
      </x:c>
      <x:c r="B16" s="97" t="str">
        <x:v>D3.5</x:v>
      </x:c>
      <x:c r="C16" s="97" t="str">
        <x:v>27~28h</x:v>
      </x:c>
      <x:c r="D16" s="83" t="str">
        <x:v>무영향 검증·인계</x:v>
      </x:c>
      <x:c r="E16" s="83" t="str">
        <x:v>기존 자산 변경 0건·참조 연결 0건·원격 0건 확인 후 엑셀/독립 UI/체크리스트 인계</x:v>
      </x:c>
      <x:c r="F16" s="83" t="str">
        <x:v>최종 산출물 묶음</x:v>
      </x:c>
      <x:c r="G16" s="117" t="n">
        <x:v>1</x:v>
      </x:c>
      <x:c r="H16" s="97" t="str">
        <x:v>계획</x:v>
      </x:c>
      <x:c r="I16" s="84" t="str">
        <x:v>이후 사용자 최종 점검 1일 별도</x:v>
      </x:c>
    </x:row>
    <x:row r="17">
      <x:c r="A17" s="185" t="str">
        <x:v>합계 (3.5인일 × 8시간)</x:v>
      </x:c>
      <x:c r="B17" s="185"/>
      <x:c r="C17" s="185"/>
      <x:c r="D17" s="185"/>
      <x:c r="E17" s="185"/>
      <x:c r="F17" s="185"/>
      <x:c r="G17" s="186" t="n">
        <x:f>SUM(G6:G16)</x:f>
        <x:v>28</x:v>
      </x:c>
      <x:c r="H17" s="186" t="str">
        <x:f>IF(G17=28,"28시간 일치","시간 재산정")</x:f>
        <x:v>28시간 일치</x:v>
      </x:c>
      <x:c r="I17" s="186"/>
    </x:row>
  </x:sheetData>
  <x:mergeCells>
    <x:mergeCell ref="A1:I2"/>
    <x:mergeCell ref="A3:I3"/>
    <x:mergeCell ref="A17:F17"/>
    <x:mergeCell ref="H17:I17"/>
  </x:mergeCells>
  <x:conditionalFormatting sqref="H6:H16">
    <x:cfRule type="containsText" dxfId="9" priority="1" operator="containsText" text="완료"/>
    <x:cfRule type="containsText" dxfId="10" priority="2" operator="containsText" text="지연"/>
    <x:cfRule type="containsText" dxfId="22" priority="3" operator="containsText" text="완료"/>
    <x:cfRule type="containsText" dxfId="23" priority="4" operator="containsText" text="지연"/>
    <x:cfRule type="containsText" dxfId="35" priority="5" operator="containsText" text="완료"/>
    <x:cfRule type="containsText" dxfId="36" priority="6" operator="containsText" text="지연"/>
  </x:conditionalFormatting>
  <x:dataValidations count="1">
    <x:dataValidation type="list" sqref="H6:H16">
      <x:formula1>"작성 완료,진행 예정,계획,진행 중,완료,지연"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8891ac808b4a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42" hidden="0" customWidth="1"/>
    <x:col min="4" max="4" width="20" hidden="0" customWidth="1"/>
    <x:col min="5" max="5" width="44" hidden="0" customWidth="1"/>
    <x:col min="6" max="6" width="44" hidden="0" customWidth="1"/>
    <x:col min="7" max="7" width="12" hidden="0" customWidth="1"/>
    <x:col min="8" max="8" width="14" hidden="0" customWidth="1"/>
    <x:col min="9" max="9" width="12" hidden="0" customWidth="1"/>
    <x:col min="10" max="10" width="34" hidden="0" customWidth="1"/>
  </x:cols>
  <x:sheetData>
    <x:row r="1" ht="28" customHeight="1">
      <x:c r="A1" s="161" t="str">
        <x:v>정확한 산출물 정의</x:v>
      </x:c>
      <x:c r="B1" s="162"/>
      <x:c r="C1" s="162"/>
      <x:c r="D1" s="162"/>
      <x:c r="E1" s="162"/>
      <x:c r="F1" s="162"/>
      <x:c r="G1" s="162"/>
      <x:c r="H1" s="162"/>
      <x:c r="I1" s="162"/>
      <x:c r="J1" s="163"/>
    </x:row>
    <x:row r="2" ht="28" customHeight="1">
      <x:c r="A2" s="164"/>
      <x:c r="B2" s="165"/>
      <x:c r="C2" s="165"/>
      <x:c r="D2" s="165"/>
      <x:c r="E2" s="165"/>
      <x:c r="F2" s="165"/>
      <x:c r="G2" s="165"/>
      <x:c r="H2" s="165"/>
      <x:c r="I2" s="165"/>
      <x:c r="J2" s="166"/>
    </x:row>
    <x:row r="3" ht="32" customHeight="1">
      <x:c r="A3" s="167" t="str">
        <x:v>현행 AI-ONE을 참조해 목록·규격·중복·공용성을 정리하고 local-common-ui/에 독립 샘플을 구현하는 산출물 · 기존 코드 및 원격 영향 없음</x:v>
      </x:c>
      <x:c r="B3" s="168"/>
      <x:c r="C3" s="168"/>
      <x:c r="D3" s="168"/>
      <x:c r="E3" s="168"/>
      <x:c r="F3" s="168"/>
      <x:c r="G3" s="168"/>
      <x:c r="H3" s="168"/>
      <x:c r="I3" s="168"/>
      <x:c r="J3" s="169"/>
    </x:row>
    <x:row r="5" ht="36" customHeight="1">
      <x:c r="A5" s="173" t="str">
        <x:v>No.</x:v>
      </x:c>
      <x:c r="B5" s="173" t="str">
        <x:v>구분</x:v>
      </x:c>
      <x:c r="C5" s="173" t="str">
        <x:v>정확한 경로</x:v>
      </x:c>
      <x:c r="D5" s="173" t="str">
        <x:v>시트/형태</x:v>
      </x:c>
      <x:c r="E5" s="173" t="str">
        <x:v>내용</x:v>
      </x:c>
      <x:c r="F5" s="173" t="str">
        <x:v>완료 기준</x:v>
      </x:c>
      <x:c r="G5" s="173" t="str">
        <x:v>완료 시점</x:v>
      </x:c>
      <x:c r="H5" s="173" t="str">
        <x:v>상태</x:v>
      </x:c>
      <x:c r="I5" s="173" t="str">
        <x:v>3.5일 포함</x:v>
      </x:c>
      <x:c r="J5" s="173" t="str">
        <x:v>비고</x:v>
      </x:c>
    </x:row>
    <x:row r="6" ht="48" customHeight="1">
      <x:c r="A6" s="278" t="n">
        <x:v>1</x:v>
      </x:c>
      <x:c r="B6" s="233" t="str">
        <x:v>현재 산출</x:v>
      </x:c>
      <x:c r="C6" s="213" t="str">
        <x:v>docs/공통 컴포넌트 정리.xlsx</x:v>
      </x:c>
      <x:c r="D6" s="213" t="str">
        <x:v>요약</x:v>
      </x:c>
      <x:c r="E6" s="213" t="str">
        <x:v>범위·가용시간·무영향 원칙·Figma 전제·재사용 기준</x:v>
      </x:c>
      <x:c r="F6" s="213" t="str">
        <x:v>기존 변경 0건과 독립 경로가 명시됨</x:v>
      </x:c>
      <x:c r="G6" s="233" t="str">
        <x:v>D1</x:v>
      </x:c>
      <x:c r="H6" s="234" t="str">
        <x:v>작성 완료</x:v>
      </x:c>
      <x:c r="I6" s="233" t="str">
        <x:v>Y</x:v>
      </x:c>
      <x:c r="J6" s="279" t="str">
        <x:v>이 파일</x:v>
      </x:c>
    </x:row>
    <x:row r="7" ht="48" customHeight="1">
      <x:c r="A7" s="280" t="n">
        <x:v>2</x:v>
      </x:c>
      <x:c r="B7" s="281" t="str">
        <x:v>현재 산출</x:v>
      </x:c>
      <x:c r="C7" s="282" t="str">
        <x:v>docs/공통 컴포넌트 정리.xlsx</x:v>
      </x:c>
      <x:c r="D7" s="282" t="str">
        <x:v>컴포넌트 목록</x:v>
      </x:c>
      <x:c r="E7" s="282" t="str">
        <x:v>55개 UI 목록·규격·코드/API·사용 화면·공용성</x:v>
      </x:c>
      <x:c r="F7" s="282" t="str">
        <x:v>55행 누락 없이 필터 가능</x:v>
      </x:c>
      <x:c r="G7" s="281" t="str">
        <x:v>D1</x:v>
      </x:c>
      <x:c r="H7" s="237" t="str">
        <x:v>작성 완료</x:v>
      </x:c>
      <x:c r="I7" s="281" t="str">
        <x:v>Y</x:v>
      </x:c>
      <x:c r="J7" s="283" t="str">
        <x:v>현재 코드 기준</x:v>
      </x:c>
    </x:row>
    <x:row r="8" ht="48" customHeight="1">
      <x:c r="A8" s="284" t="n">
        <x:v>3</x:v>
      </x:c>
      <x:c r="B8" s="239" t="str">
        <x:v>현재 산출</x:v>
      </x:c>
      <x:c r="C8" s="214" t="str">
        <x:v>docs/공통 컴포넌트 정리.xlsx</x:v>
      </x:c>
      <x:c r="D8" s="214" t="str">
        <x:v>Figma·중복 매핑</x:v>
      </x:c>
      <x:c r="E8" s="214" t="str">
        <x:v>Figma 제안명/Property/Node 상태·중복 후보·독립 UI 우선순위</x:v>
      </x:c>
      <x:c r="F8" s="214" t="str">
        <x:v>55개 코드 항목에 매핑 상태와 결정이 기록됨</x:v>
      </x:c>
      <x:c r="G8" s="239" t="str">
        <x:v>D1</x:v>
      </x:c>
      <x:c r="H8" s="237" t="str">
        <x:v>작성 완료</x:v>
      </x:c>
      <x:c r="I8" s="239" t="str">
        <x:v>Y</x:v>
      </x:c>
      <x:c r="J8" s="285" t="str">
        <x:v>Figma 원본 제공 후 상태 갱신</x:v>
      </x:c>
    </x:row>
    <x:row r="9" ht="48" customHeight="1">
      <x:c r="A9" s="280" t="n">
        <x:v>4</x:v>
      </x:c>
      <x:c r="B9" s="281" t="str">
        <x:v>현재 산출</x:v>
      </x:c>
      <x:c r="C9" s="282" t="str">
        <x:v>docs/공통 컴포넌트 정리.xlsx</x:v>
      </x:c>
      <x:c r="D9" s="282" t="str">
        <x:v>프로젝트 점검·3.5일 일정</x:v>
      </x:c>
      <x:c r="E9" s="282" t="str">
        <x:v>기존 코드 무영향 기준과 총 28시간 실행 계획</x:v>
      </x:c>
      <x:c r="F9" s="282" t="str">
        <x:v>합계 28시간·기존 변경 0건·원격 0건</x:v>
      </x:c>
      <x:c r="G9" s="281" t="str">
        <x:v>D1</x:v>
      </x:c>
      <x:c r="H9" s="237" t="str">
        <x:v>작성 완료</x:v>
      </x:c>
      <x:c r="I9" s="281" t="str">
        <x:v>Y</x:v>
      </x:c>
      <x:c r="J9" s="283" t="str">
        <x:v>사용자 최종 점검 1일 별도</x:v>
      </x:c>
    </x:row>
    <x:row r="10" ht="48" customHeight="1">
      <x:c r="A10" s="284" t="n">
        <x:v>5</x:v>
      </x:c>
      <x:c r="B10" s="239" t="str">
        <x:v>예정 산출</x:v>
      </x:c>
      <x:c r="C10" s="214" t="str">
        <x:v>local-common-ui/README.md</x:v>
      </x:c>
      <x:c r="D10" s="214" t="str">
        <x:v>작업 원칙/규격 계약</x:v>
      </x:c>
      <x:c r="E10" s="214" t="str">
        <x:v>폴더 구조·Figma-코드 매핑 규칙·컴포넌트 작성 규칙·기존 AI-ONE 비연결 원칙</x:v>
      </x:c>
      <x:c r="F10" s="214" t="str">
        <x:v>단독 실행/수정 방법과 금지 범위가 명확함</x:v>
      </x:c>
      <x:c r="G10" s="239" t="str">
        <x:v>D2</x:v>
      </x:c>
      <x:c r="H10" s="290" t="str">
        <x:v>계획</x:v>
      </x:c>
      <x:c r="I10" s="239" t="str">
        <x:v>Y</x:v>
      </x:c>
      <x:c r="J10" s="285" t="str">
        <x:v>로컬 전용</x:v>
      </x:c>
    </x:row>
    <x:row r="11" ht="48" customHeight="1">
      <x:c r="A11" s="280" t="n">
        <x:v>6</x:v>
      </x:c>
      <x:c r="B11" s="281" t="str">
        <x:v>예정 산출</x:v>
      </x:c>
      <x:c r="C11" s="282" t="str">
        <x:v>local-common-ui/index.html</x:v>
      </x:c>
      <x:c r="D11" s="282" t="str">
        <x:v>독립 공통 UI 카탈로그</x:v>
      </x:c>
      <x:c r="E11" s="282" t="str">
        <x:v>1차 구현 6개 컴포넌트의 규격·Variant·State·접근성 데모</x:v>
      </x:c>
      <x:c r="F11" s="282" t="str">
        <x:v>기존 페이지나 공통 자산을 로드하지 않고 독립 표시</x:v>
      </x:c>
      <x:c r="G11" s="281" t="str">
        <x:v>D3</x:v>
      </x:c>
      <x:c r="H11" s="290" t="str">
        <x:v>계획</x:v>
      </x:c>
      <x:c r="I11" s="281" t="str">
        <x:v>Y</x:v>
      </x:c>
      <x:c r="J11" s="283" t="str">
        <x:v>Token/Button/Field/Input/Badge/Icon/Modal 중 Field·Input 묶음</x:v>
      </x:c>
    </x:row>
    <x:row r="12" ht="48" customHeight="1">
      <x:c r="A12" s="284" t="n">
        <x:v>7</x:v>
      </x:c>
      <x:c r="B12" s="239" t="str">
        <x:v>예정 산출</x:v>
      </x:c>
      <x:c r="C12" s="214" t="str">
        <x:v>local-common-ui/css/tokens.css · catalog.css</x:v>
      </x:c>
      <x:c r="D12" s="214" t="str">
        <x:v>토큰/카탈로그 스타일</x:v>
      </x:c>
      <x:c r="E12" s="214" t="str">
        <x:v>Figma Variable 제안명과 CSS custom property 및 독립 레이아웃</x:v>
      </x:c>
      <x:c r="F12" s="214" t="str">
        <x:v>코드 값·Figma 제안명·사용처가 추적 가능</x:v>
      </x:c>
      <x:c r="G12" s="239" t="str">
        <x:v>D3</x:v>
      </x:c>
      <x:c r="H12" s="290" t="str">
        <x:v>계획</x:v>
      </x:c>
      <x:c r="I12" s="239" t="str">
        <x:v>Y</x:v>
      </x:c>
      <x:c r="J12" s="285" t="str">
        <x:v>기존 css 수정 없음</x:v>
      </x:c>
    </x:row>
    <x:row r="13" ht="48" customHeight="1">
      <x:c r="A13" s="280" t="n">
        <x:v>8</x:v>
      </x:c>
      <x:c r="B13" s="281" t="str">
        <x:v>예정 산출</x:v>
      </x:c>
      <x:c r="C13" s="282" t="str">
        <x:v>local-common-ui/components/ · js/</x:v>
      </x:c>
      <x:c r="D13" s="282" t="str">
        <x:v>독립 컴포넌트 구현</x:v>
      </x:c>
      <x:c r="E13" s="282" t="str">
        <x:v>1차 Primitive 5종과 Modal 1종의 HTML/CSS/JS 계약</x:v>
      </x:c>
      <x:c r="F13" s="282" t="str">
        <x:v>독립 class/API와 상태·키보드 샘플이 동작</x:v>
      </x:c>
      <x:c r="G13" s="281" t="str">
        <x:v>D3</x:v>
      </x:c>
      <x:c r="H13" s="290" t="str">
        <x:v>계획</x:v>
      </x:c>
      <x:c r="I13" s="281" t="str">
        <x:v>Y</x:v>
      </x:c>
      <x:c r="J13" s="283" t="str">
        <x:v>기존 js 수정·연결 없음</x:v>
      </x:c>
    </x:row>
    <x:row r="14" ht="48" customHeight="1">
      <x:c r="A14" s="284" t="n">
        <x:v>9</x:v>
      </x:c>
      <x:c r="B14" s="239" t="str">
        <x:v>미수행(결정)</x:v>
      </x:c>
      <x:c r="C14" s="214" t="str">
        <x:v>pages/ · css/ · js/ · assets/</x:v>
      </x:c>
      <x:c r="D14" s="214" t="str">
        <x:v>기존 AI-ONE 변경/교체</x:v>
      </x:c>
      <x:c r="E14" s="214" t="str">
        <x:v>기존 컴포넌트 수정·화면 적용·공통 참조 전환을 수행하지 않음</x:v>
      </x:c>
      <x:c r="F14" s="214" t="str">
        <x:v>작업 전후 기존 자산 변경 0건</x:v>
      </x:c>
      <x:c r="G14" s="239" t="str">
        <x:v>-</x:v>
      </x:c>
      <x:c r="H14" s="291" t="str">
        <x:v>미수행</x:v>
      </x:c>
      <x:c r="I14" s="239" t="str">
        <x:v>N</x:v>
      </x:c>
      <x:c r="J14" s="285" t="str">
        <x:v>분석 참조만 허용</x:v>
      </x:c>
    </x:row>
    <x:row r="15" ht="48" customHeight="1">
      <x:c r="A15" s="286" t="n">
        <x:v>10</x:v>
      </x:c>
      <x:c r="B15" s="282" t="str">
        <x:v>미수행(결정)</x:v>
      </x:c>
      <x:c r="C15" s="282" t="str">
        <x:v>Git remote</x:v>
      </x:c>
      <x:c r="D15" s="282" t="str">
        <x:v>원격 반영</x:v>
      </x:c>
      <x:c r="E15" s="282" t="str">
        <x:v>push·PR·deploy·원격 브랜치 갱신을 수행하지 않음</x:v>
      </x:c>
      <x:c r="F15" s="282" t="str">
        <x:v>원격 작업 0건</x:v>
      </x:c>
      <x:c r="G15" s="282" t="str">
        <x:v>-</x:v>
      </x:c>
      <x:c r="H15" s="292" t="str">
        <x:v>미수행</x:v>
      </x:c>
      <x:c r="I15" s="282" t="str">
        <x:v>N</x:v>
      </x:c>
      <x:c r="J15" s="282" t="str">
        <x:v>사용자 별도 요청 전 금지</x:v>
      </x:c>
    </x:row>
    <x:row r="16" ht="48" customHeight="1">
      <x:c r="A16" s="287" t="n">
        <x:v>11</x:v>
      </x:c>
      <x:c r="B16" s="214" t="str">
        <x:v>미수행(결정)</x:v>
      </x:c>
      <x:c r="C16" s="214" t="str">
        <x:v>React 전환</x:v>
      </x:c>
      <x:c r="D16" s="214" t="str">
        <x:v>구현</x:v>
      </x:c>
      <x:c r="E16" s="214" t="str">
        <x:v>React 컴포넌트화 및 프레임워크 전환을 수행하지 않음</x:v>
      </x:c>
      <x:c r="F16" s="214" t="str">
        <x:v>현재 HTML 구조 유지</x:v>
      </x:c>
      <x:c r="G16" s="214" t="str">
        <x:v>-</x:v>
      </x:c>
      <x:c r="H16" s="292" t="str">
        <x:v>미수행</x:v>
      </x:c>
      <x:c r="I16" s="214" t="str">
        <x:v>N</x:v>
      </x:c>
      <x:c r="J16" s="214" t="str">
        <x:v>프로젝트 계획에 없음</x:v>
      </x:c>
    </x:row>
    <x:row r="17" ht="48" customHeight="1">
      <x:c r="A17" s="288" t="n">
        <x:v>12</x:v>
      </x:c>
      <x:c r="B17" s="289" t="str">
        <x:v>미수행(결정)</x:v>
      </x:c>
      <x:c r="C17" s="289" t="str">
        <x:v>백엔드/API 전환</x:v>
      </x:c>
      <x:c r="D17" s="289" t="str">
        <x:v>연동</x:v>
      </x:c>
      <x:c r="E17" s="289" t="str">
        <x:v>인증·저장·업무 API·실데이터 전환을 수행하지 않음</x:v>
      </x:c>
      <x:c r="F17" s="289" t="str">
        <x:v>정적 prototype/mock 경계 유지</x:v>
      </x:c>
      <x:c r="G17" s="289" t="str">
        <x:v>-</x:v>
      </x:c>
      <x:c r="H17" s="293" t="str">
        <x:v>미수행</x:v>
      </x:c>
      <x:c r="I17" s="289" t="str">
        <x:v>N</x:v>
      </x:c>
      <x:c r="J17" s="289" t="str">
        <x:v>프로젝트 계획에 없음</x:v>
      </x:c>
    </x:row>
  </x:sheetData>
  <x:mergeCells>
    <x:mergeCell ref="A1:J2"/>
    <x:mergeCell ref="A3:J3"/>
  </x:mergeCells>
  <x:conditionalFormatting sqref="H6:H14">
    <x:cfRule type="containsText" dxfId="39" priority="1" operator="containsText" text="완료"/>
    <x:cfRule type="containsText" dxfId="40" priority="2" operator="containsText" text="미수행"/>
  </x:conditionalFormatting>
  <x:dataValidations count="2">
    <x:dataValidation type="list" sqref="H6:H14">
      <x:formula1>"작성 완료,계획,미수행"</x:formula1>
    </x:dataValidation>
    <x:dataValidation type="list" sqref="H6:H17">
      <x:formula1>"작성 완료,계획,미수행"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006584bb3047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16" hidden="0" customWidth="1"/>
    <x:col min="4" max="4" width="38" hidden="0" customWidth="1"/>
    <x:col min="5" max="5" width="34" hidden="0" customWidth="1"/>
    <x:col min="6" max="6" width="24" hidden="0" customWidth="1"/>
    <x:col min="7" max="7" width="38" hidden="0" customWidth="1"/>
    <x:col min="8" max="8" width="15" hidden="0" customWidth="1"/>
    <x:col min="9" max="9" width="17" hidden="0" customWidth="1"/>
    <x:col min="10" max="10" width="34" hidden="0" customWidth="1"/>
    <x:col min="11" max="11" width="15" hidden="0" customWidth="1"/>
    <x:col min="12" max="12" width="30" hidden="0" customWidth="1"/>
  </x:cols>
  <x:sheetData>
    <x:row r="1" ht="30" customHeight="1">
      <x:c r="A1" s="191" t="str">
        <x:v>Figma 디자인 시스템 · 코드 컴포넌트 매핑</x:v>
      </x:c>
      <x:c r="B1" s="191"/>
      <x:c r="C1" s="191"/>
      <x:c r="D1" s="191"/>
      <x:c r="E1" s="191"/>
      <x:c r="F1" s="191"/>
      <x:c r="G1" s="191"/>
      <x:c r="H1" s="191"/>
      <x:c r="I1" s="191"/>
      <x:c r="J1" s="191"/>
      <x:c r="K1" s="191"/>
      <x:c r="L1" s="191"/>
    </x:row>
    <x:row r="2" ht="30" customHeight="1">
      <x:c r="A2" s="191"/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</x:row>
    <x:row r="3" ht="34" customHeight="1">
      <x:c r="A3" s="195" t="str">
        <x:v>코드 규격을 Figma Component/Property와 연결하기 위한 기반표 · Figma 원본 링크/Node ID 미제공 상태이므로 명칭과 Property는 제안값이며 기존 AI-ONE 코드는 변경하지 않음</x:v>
      </x:c>
      <x:c r="B3" s="195"/>
      <x:c r="C3" s="195"/>
      <x:c r="D3" s="195"/>
      <x:c r="E3" s="195"/>
      <x:c r="F3" s="195"/>
      <x:c r="G3" s="195"/>
      <x:c r="H3" s="195"/>
      <x:c r="I3" s="195"/>
      <x:c r="J3" s="195"/>
      <x:c r="K3" s="195"/>
      <x:c r="L3" s="195"/>
    </x:row>
    <x:row r="5" ht="26" customHeight="1">
      <x:c r="A5" s="197" t="str">
        <x:v>매핑 항목</x:v>
      </x:c>
      <x:c r="C5" s="197" t="str">
        <x:v>Figma 원본 연결</x:v>
      </x:c>
      <x:c r="E5" s="197" t="str">
        <x:v>원본 확인 필요</x:v>
      </x:c>
      <x:c r="G5" s="197" t="str">
        <x:v>중복/유사 후보 항목</x:v>
      </x:c>
      <x:c r="I5" s="197" t="str">
        <x:v>1차 구현 항목</x:v>
      </x:c>
      <x:c r="K5" s="197" t="str">
        <x:v>독립 작업 경로</x:v>
      </x:c>
    </x:row>
    <x:row r="6" ht="26" customHeight="1">
      <x:c r="A6" s="200" t="n">
        <x:f>COUNTA(A9:A63)</x:f>
        <x:v>55</x:v>
      </x:c>
      <x:c r="C6" s="200" t="n">
        <x:f>COUNTIF(H9:H63,"&lt;&gt;미제공")</x:f>
        <x:v>0</x:v>
      </x:c>
      <x:c r="E6" s="200" t="n">
        <x:f>COUNTIF(I9:I63,"원본 확인 필요")</x:f>
        <x:v>55</x:v>
      </x:c>
      <x:c r="G6" s="200" t="n">
        <x:f>COUNTIF(J9:J63,"&lt;&gt;직접 중복 근거 없음")</x:f>
        <x:v>21</x:v>
      </x:c>
      <x:c r="I6" s="200" t="n">
        <x:f>COUNTIF(K9:K63,"1차 구현")</x:f>
        <x:v>6</x:v>
      </x:c>
      <x:c r="K6" s="200" t="str">
        <x:v>local-common-ui/</x:v>
      </x:c>
    </x:row>
    <x:row r="8" ht="34" customHeight="1">
      <x:c r="A8" s="202" t="str">
        <x:v>No.</x:v>
      </x:c>
      <x:c r="B8" s="202" t="str">
        <x:v>컴포넌트</x:v>
      </x:c>
      <x:c r="C8" s="202" t="str">
        <x:v>재사용 구분</x:v>
      </x:c>
      <x:c r="D8" s="202" t="str">
        <x:v>코드 규격 요약</x:v>
      </x:c>
      <x:c r="E8" s="202" t="str">
        <x:v>코드 연결/API</x:v>
      </x:c>
      <x:c r="F8" s="202" t="str">
        <x:v>Figma 컴포넌트명(제안)</x:v>
      </x:c>
      <x:c r="G8" s="202" t="str">
        <x:v>Figma Property/Variant(제안)</x:v>
      </x:c>
      <x:c r="H8" s="202" t="str">
        <x:v>Figma 링크/Node ID</x:v>
      </x:c>
      <x:c r="I8" s="202" t="str">
        <x:v>매핑 상태</x:v>
      </x:c>
      <x:c r="J8" s="202" t="str">
        <x:v>중복/유사 후보</x:v>
      </x:c>
      <x:c r="K8" s="202" t="str">
        <x:v>독립 UI 우선순위</x:v>
      </x:c>
      <x:c r="L8" s="202" t="str">
        <x:v>결정/비고</x:v>
      </x:c>
    </x:row>
    <x:row r="9" ht="54" customHeight="1">
      <x:c r="A9" s="232" t="n">
        <x:v>1</x:v>
      </x:c>
      <x:c r="B9" s="233" t="str">
        <x:v>디자인 토큰/테마</x:v>
      </x:c>
      <x:c r="C9" s="234" t="str">
        <x:v>전 프로젝트 공용</x:v>
      </x:c>
      <x:c r="D9" s="213" t="str">
        <x:v>Size 전역 · H - · P - · Gap - · Type Pretendard Variable · 배율 토큰 · R 6/10/12/14px</x:v>
      </x:c>
      <x:c r="E9" s="213" t="str">
        <x:v>css/ai-theme.css · js/ai-theme.js · css/common.css :root · data-theme · data-accent-*</x:v>
      </x:c>
      <x:c r="F9" s="213" t="str">
        <x:v>Core/디자인 토큰/테마</x:v>
      </x:c>
      <x:c r="G9" s="213" t="str">
        <x:v>Variant=light · dark · accent 7종; Size=전역; Height=-</x:v>
      </x:c>
      <x:c r="H9" s="243" t="str">
        <x:v>미제공</x:v>
      </x:c>
      <x:c r="I9" s="243" t="str">
        <x:v>원본 확인 필요</x:v>
      </x:c>
      <x:c r="J9" s="244" t="str">
        <x:v>직접 중복 근거 없음</x:v>
      </x:c>
      <x:c r="K9" s="245" t="str">
        <x:v>1차 구현</x:v>
      </x:c>
      <x:c r="L9" s="213" t="str">
        <x:v>기반 · 기존 코드 미변경; 별도 영역에서 독립 구현</x:v>
      </x:c>
    </x:row>
    <x:row r="10" ht="54" customHeight="1">
      <x:c r="A10" s="235" t="n">
        <x:v>2</x:v>
      </x:c>
      <x:c r="B10" s="236" t="str">
        <x:v>접근성 유틸리티</x:v>
      </x:c>
      <x:c r="C10" s="237" t="str">
        <x:v>전 프로젝트 공용</x:v>
      </x:c>
      <x:c r="D10" s="211" t="str">
        <x:v>Size 전역 · H - · P - · Gap - · Type 상속 · R -</x:v>
      </x:c>
      <x:c r="E10" s="211" t="str">
        <x:v>css/common.css: Accessibility Utility · ARIA · focus-visible · prefers-reduced-motion</x:v>
      </x:c>
      <x:c r="F10" s="211" t="str">
        <x:v>Core/접근성 유틸리티</x:v>
      </x:c>
      <x:c r="G10" s="211" t="str">
        <x:v>Variant=hidden · sr-only · visually-hidden · reduced-motion; Size=전역; Height=-</x:v>
      </x:c>
      <x:c r="H10" s="246" t="str">
        <x:v>미제공</x:v>
      </x:c>
      <x:c r="I10" s="246" t="str">
        <x:v>원본 확인 필요</x:v>
      </x:c>
      <x:c r="J10" s="247" t="str">
        <x:v>직접 중복 근거 없음</x:v>
      </x:c>
      <x:c r="K10" s="248" t="str">
        <x:v>2차 후보</x:v>
      </x:c>
      <x:c r="L10" s="211" t="str">
        <x:v>기반 · 기존 코드 미변경; 별도 영역에서 독립 구현</x:v>
      </x:c>
    </x:row>
    <x:row r="11" ht="54" customHeight="1">
      <x:c r="A11" s="238" t="n">
        <x:v>3</x:v>
      </x:c>
      <x:c r="B11" s="239" t="str">
        <x:v>앱 레이아웃</x:v>
      </x:c>
      <x:c r="C11" s="237" t="str">
        <x:v>전 프로젝트 공용</x:v>
      </x:c>
      <x:c r="D11" s="214" t="str">
        <x:v>Size min 320px · H 100vh · P - · Gap - · Type 상속 · R -</x:v>
      </x:c>
      <x:c r="E11" s="214" t="str">
        <x:v>.app · .main-wrap · .three-panel · sidebar sibling state</x:v>
      </x:c>
      <x:c r="F11" s="214" t="str">
        <x:v>Core/앱 레이아웃</x:v>
      </x:c>
      <x:c r="G11" s="214" t="str">
        <x:v>Variant=default · sidebar collapsed · responsive; Size=min 320px; Height=100vh</x:v>
      </x:c>
      <x:c r="H11" s="246" t="str">
        <x:v>미제공</x:v>
      </x:c>
      <x:c r="I11" s="246" t="str">
        <x:v>원본 확인 필요</x:v>
      </x:c>
      <x:c r="J11" s="247" t="str">
        <x:v>직접 중복 근거 없음</x:v>
      </x:c>
      <x:c r="K11" s="248" t="str">
        <x:v>2차 후보</x:v>
      </x:c>
      <x:c r="L11" s="214" t="str">
        <x:v>레이아웃 · 기존 코드 미변경; 별도 영역에서 독립 구현</x:v>
      </x:c>
    </x:row>
    <x:row r="12" ht="54" customHeight="1">
      <x:c r="A12" s="235" t="n">
        <x:v>4</x:v>
      </x:c>
      <x:c r="B12" s="236" t="str">
        <x:v>API 로딩 스켈레톤</x:v>
      </x:c>
      <x:c r="C12" s="237" t="str">
        <x:v>전 프로젝트 공용</x:v>
      </x:c>
      <x:c r="D12" s="211" t="str">
        <x:v>Size 유동 · H 콘텐츠 종속 · P 컴포넌트별 · Gap 8~12px · Type 상속 · R 6~12px</x:v>
      </x:c>
      <x:c r="E12" s="211" t="str">
        <x:v>.api-skeleton-overlay · .ai-skeleton · .skeleton-* · 런타임 생성 가능</x:v>
      </x:c>
      <x:c r="F12" s="211" t="str">
        <x:v>Core/API 로딩 스켈레톤</x:v>
      </x:c>
      <x:c r="G12" s="211" t="str">
        <x:v>Variant=line · circle · card · overlay; Size=유동; Height=콘텐츠 종속</x:v>
      </x:c>
      <x:c r="H12" s="246" t="str">
        <x:v>미제공</x:v>
      </x:c>
      <x:c r="I12" s="246" t="str">
        <x:v>원본 확인 필요</x:v>
      </x:c>
      <x:c r="J12" s="247" t="str">
        <x:v>DUP-01 Skeleton: .api-skeleton-overlay / .ai-skeleton / .skeleton-*</x:v>
      </x:c>
      <x:c r="K12" s="248" t="str">
        <x:v>2차 후보</x:v>
      </x:c>
      <x:c r="L12" s="211" t="str">
        <x:v>피드백 · 기존 코드 미변경; 별도 영역에서 독립 구현</x:v>
      </x:c>
    </x:row>
    <x:row r="13" ht="54" customHeight="1">
      <x:c r="A13" s="238" t="n">
        <x:v>5</x:v>
      </x:c>
      <x:c r="B13" s="239" t="str">
        <x:v>필드/폼 컨트롤</x:v>
      </x:c>
      <x:c r="C13" s="237" t="str">
        <x:v>전 프로젝트 공용</x:v>
      </x:c>
      <x:c r="D13" s="214" t="str">
        <x:v>Size 100%/유동 · H 컨트롤 종속 · P label 6px · group 16px · Gap row 12px · Type label/help 12px · R -</x:v>
      </x:c>
      <x:c r="E13" s="214" t="str">
        <x:v>.field · .form-row · .form-group · 상태 클래스 is-error/is-success</x:v>
      </x:c>
      <x:c r="F13" s="214" t="str">
        <x:v>Core/필드/폼 컨트롤</x:v>
      </x:c>
      <x:c r="G13" s="214" t="str">
        <x:v>Variant=default · required · error · success · help/count; Size=100%/유동; Height=컨트롤 종속</x:v>
      </x:c>
      <x:c r="H13" s="246" t="str">
        <x:v>미제공</x:v>
      </x:c>
      <x:c r="I13" s="246" t="str">
        <x:v>원본 확인 필요</x:v>
      </x:c>
      <x:c r="J13" s="247" t="str">
        <x:v>직접 중복 근거 없음</x:v>
      </x:c>
      <x:c r="K13" s="248" t="str">
        <x:v>1차 구현</x:v>
      </x:c>
      <x:c r="L13" s="214" t="str">
        <x:v>폼 · 기존 코드 미변경; 별도 영역에서 독립 구현</x:v>
      </x:c>
    </x:row>
    <x:row r="14" ht="54" customHeight="1">
      <x:c r="A14" s="235" t="n">
        <x:v>6</x:v>
      </x:c>
      <x:c r="B14" s="236" t="str">
        <x:v>배지</x:v>
      </x:c>
      <x:c r="C14" s="237" t="str">
        <x:v>전 프로젝트 공용</x:v>
      </x:c>
      <x:c r="D14" s="211" t="str">
        <x:v>Size 콘텐츠 폭 · H 자동 · P 2~3px 8~10px · Gap 4px · Type 10px/600 · R 14px</x:v>
      </x:c>
      <x:c r="E14" s="211" t="str">
        <x:v>.badge · .status-badge · data-status-icon</x:v>
      </x:c>
      <x:c r="F14" s="211" t="str">
        <x:v>Core/배지</x:v>
      </x:c>
      <x:c r="G14" s="211" t="str">
        <x:v>Variant=type1 · blue/green/yellow/purple/red/gray · error icon; Size=콘텐츠 폭; Height=자동</x:v>
      </x:c>
      <x:c r="H14" s="246" t="str">
        <x:v>미제공</x:v>
      </x:c>
      <x:c r="I14" s="246" t="str">
        <x:v>원본 확인 필요</x:v>
      </x:c>
      <x:c r="J14" s="247" t="str">
        <x:v>DUP-02 Badge: .badge / .status-badge</x:v>
      </x:c>
      <x:c r="K14" s="248" t="str">
        <x:v>1차 구현</x:v>
      </x:c>
      <x:c r="L14" s="211" t="str">
        <x:v>데이터 표시 · 기존 코드 미변경; 별도 영역에서 독립 구현</x:v>
      </x:c>
    </x:row>
    <x:row r="15" ht="54" customHeight="1">
      <x:c r="A15" s="238" t="n">
        <x:v>7</x:v>
      </x:c>
      <x:c r="B15" s="239" t="str">
        <x:v>아이콘</x:v>
      </x:c>
      <x:c r="C15" s="237" t="str">
        <x:v>전 프로젝트 공용</x:v>
      </x:c>
      <x:c r="D15" s="214" t="str">
        <x:v>Size 14~20px · H 14~20px · P 0 · Gap - · Type - · R -</x:v>
      </x:c>
      <x:c r="E15" s="214" t="str">
        <x:v>.icon · .icon-small · [data-icon] · data-icon + 테마 filter</x:v>
      </x:c>
      <x:c r="F15" s="214" t="str">
        <x:v>Core/아이콘</x:v>
      </x:c>
      <x:c r="G15" s="214" t="str">
        <x:v>Variant=asset img · inline SVG · 14/16/20px; Size=14~20px; Height=14~20px</x:v>
      </x:c>
      <x:c r="H15" s="246" t="str">
        <x:v>미제공</x:v>
      </x:c>
      <x:c r="I15" s="246" t="str">
        <x:v>원본 확인 필요</x:v>
      </x:c>
      <x:c r="J15" s="247" t="str">
        <x:v>DUP-03 Icon: asset img / inline SVG / data-icon 구현 혼재</x:v>
      </x:c>
      <x:c r="K15" s="248" t="str">
        <x:v>1차 구현</x:v>
      </x:c>
      <x:c r="L15" s="214" t="str">
        <x:v>기반 · 기존 코드 미변경; 별도 영역에서 독립 구현</x:v>
      </x:c>
    </x:row>
    <x:row r="16" ht="54" customHeight="1">
      <x:c r="A16" s="235" t="n">
        <x:v>8</x:v>
      </x:c>
      <x:c r="B16" s="236" t="str">
        <x:v>버튼</x:v>
      </x:c>
      <x:c r="C16" s="237" t="str">
        <x:v>전 프로젝트 공용</x:v>
      </x:c>
      <x:c r="D16" s="211" t="str">
        <x:v>Size 24/32/38px 및 콘텐츠 폭 · H 기본 32px · P 0 12px · Gap 6px · Type 12px/600 · R 6px 기본</x:v>
      </x:c>
      <x:c r="E16" s="211" t="str">
        <x:v>.button · .icon-button · window.AIOneButton · aria-pressed · aria-disabled</x:v>
      </x:c>
      <x:c r="F16" s="211" t="str">
        <x:v>Core/버튼</x:v>
      </x:c>
      <x:c r="G16" s="211" t="str">
        <x:v>Variant=default · primary · soft · ghost · outline · accent · purple · workspace · cyan · danger · active · dark · pill · nav; Size=24/32/38px 및 콘텐츠 폭; Height=기본 32px</x:v>
      </x:c>
      <x:c r="H16" s="246" t="str">
        <x:v>미제공</x:v>
      </x:c>
      <x:c r="I16" s="246" t="str">
        <x:v>원본 확인 필요</x:v>
      </x:c>
      <x:c r="J16" s="247" t="str">
        <x:v>DUP-04 Button: .button / .icon-button / 화면별 variant</x:v>
      </x:c>
      <x:c r="K16" s="248" t="str">
        <x:v>1차 구현</x:v>
      </x:c>
      <x:c r="L16" s="211" t="str">
        <x:v>액션 · 기존 코드 미변경; 별도 영역에서 독립 구현</x:v>
      </x:c>
    </x:row>
    <x:row r="17" ht="54" customHeight="1">
      <x:c r="A17" s="238" t="n">
        <x:v>9</x:v>
      </x:c>
      <x:c r="B17" s="239" t="str">
        <x:v>선택 그룹</x:v>
      </x:c>
      <x:c r="C17" s="237" t="str">
        <x:v>전 프로젝트 공용</x:v>
      </x:c>
      <x:c r="D17" s="214" t="str">
        <x:v>Size 100%/유동 · H 자동 · P 항목별 · Gap 8~12px · Type 12px · R 6~10px</x:v>
      </x:c>
      <x:c r="E17" s="214" t="str">
        <x:v>.choice-group · .choice-list · native input 연계</x:v>
      </x:c>
      <x:c r="F17" s="214" t="str">
        <x:v>Core/선택 그룹</x:v>
      </x:c>
      <x:c r="G17" s="214" t="str">
        <x:v>Variant=block · inline · title/desc; Size=100%/유동; Height=자동</x:v>
      </x:c>
      <x:c r="H17" s="246" t="str">
        <x:v>미제공</x:v>
      </x:c>
      <x:c r="I17" s="246" t="str">
        <x:v>원본 확인 필요</x:v>
      </x:c>
      <x:c r="J17" s="247" t="str">
        <x:v>직접 중복 근거 없음</x:v>
      </x:c>
      <x:c r="K17" s="248" t="str">
        <x:v>2차 후보</x:v>
      </x:c>
      <x:c r="L17" s="214" t="str">
        <x:v>폼 · 기존 코드 미변경; 별도 영역에서 독립 구현</x:v>
      </x:c>
    </x:row>
    <x:row r="18" ht="54" customHeight="1">
      <x:c r="A18" s="235" t="n">
        <x:v>10</x:v>
      </x:c>
      <x:c r="B18" s="236" t="str">
        <x:v>체크박스</x:v>
      </x:c>
      <x:c r="C18" s="237" t="str">
        <x:v>전 프로젝트 공용</x:v>
      </x:c>
      <x:c r="D18" s="211" t="str">
        <x:v>Size 12/14/16px · H 12/14/16px · P 0 · Gap 8px · Type 12px · R 3~4px</x:v>
      </x:c>
      <x:c r="E18" s="211" t="str">
        <x:v>.checkbox-control · .checkbox-label · native checkbox</x:v>
      </x:c>
      <x:c r="F18" s="211" t="str">
        <x:v>Core/체크박스</x:v>
      </x:c>
      <x:c r="G18" s="211" t="str">
        <x:v>Variant=xs · sm · md · checked · disabled; Size=12/14/16px; Height=12/14/16px</x:v>
      </x:c>
      <x:c r="H18" s="246" t="str">
        <x:v>미제공</x:v>
      </x:c>
      <x:c r="I18" s="246" t="str">
        <x:v>원본 확인 필요</x:v>
      </x:c>
      <x:c r="J18" s="247" t="str">
        <x:v>직접 중복 근거 없음</x:v>
      </x:c>
      <x:c r="K18" s="248" t="str">
        <x:v>2차 후보</x:v>
      </x:c>
      <x:c r="L18" s="211" t="str">
        <x:v>폼 · 기존 코드 미변경; 별도 영역에서 독립 구현</x:v>
      </x:c>
    </x:row>
    <x:row r="19" ht="54" customHeight="1">
      <x:c r="A19" s="238" t="n">
        <x:v>11</x:v>
      </x:c>
      <x:c r="B19" s="239" t="str">
        <x:v>칩</x:v>
      </x:c>
      <x:c r="C19" s="237" t="str">
        <x:v>전 프로젝트 공용</x:v>
      </x:c>
      <x:c r="D19" s="214" t="str">
        <x:v>Size 콘텐츠 폭 · H 자동 · P 4~8px 8~12px · Gap 4px · Type 11~12px · R 14px</x:v>
      </x:c>
      <x:c r="E19" s="214" t="str">
        <x:v>.chip · common.js Chip · data-chip-target · data-chip-suffix</x:v>
      </x:c>
      <x:c r="F19" s="214" t="str">
        <x:v>Core/칩</x:v>
      </x:c>
      <x:c r="G19" s="214" t="str">
        <x:v>Variant=default · removable; Size=콘텐츠 폭; Height=자동</x:v>
      </x:c>
      <x:c r="H19" s="246" t="str">
        <x:v>미제공</x:v>
      </x:c>
      <x:c r="I19" s="246" t="str">
        <x:v>원본 확인 필요</x:v>
      </x:c>
      <x:c r="J19" s="247" t="str">
        <x:v>직접 중복 근거 없음</x:v>
      </x:c>
      <x:c r="K19" s="248" t="str">
        <x:v>2차 후보</x:v>
      </x:c>
      <x:c r="L19" s="214" t="str">
        <x:v>액션 · 기존 코드 미변경; 별도 영역에서 독립 구현</x:v>
      </x:c>
    </x:row>
    <x:row r="20" ht="54" customHeight="1">
      <x:c r="A20" s="235" t="n">
        <x:v>12</x:v>
      </x:c>
      <x:c r="B20" s="236" t="str">
        <x:v>인풋</x:v>
      </x:c>
      <x:c r="C20" s="237" t="str">
        <x:v>전 프로젝트 공용</x:v>
      </x:c>
      <x:c r="D20" s="211" t="str">
        <x:v>Size 100% · H 자동 · P 8px 12px · Gap - · Type 13px · R 6px</x:v>
      </x:c>
      <x:c r="E20" s="211" t="str">
        <x:v>.form-input · field state</x:v>
      </x:c>
      <x:c r="F20" s="211" t="str">
        <x:v>Core/인풋</x:v>
      </x:c>
      <x:c r="G20" s="211" t="str">
        <x:v>Variant=default · focus · error · success · disabled · readonly; Size=100%; Height=자동</x:v>
      </x:c>
      <x:c r="H20" s="246" t="str">
        <x:v>미제공</x:v>
      </x:c>
      <x:c r="I20" s="246" t="str">
        <x:v>원본 확인 필요</x:v>
      </x:c>
      <x:c r="J20" s="247" t="str">
        <x:v>직접 중복 근거 없음</x:v>
      </x:c>
      <x:c r="K20" s="248" t="str">
        <x:v>2차 후보</x:v>
      </x:c>
      <x:c r="L20" s="211" t="str">
        <x:v>폼 · 기존 코드 미변경; 별도 영역에서 독립 구현</x:v>
      </x:c>
    </x:row>
    <x:row r="21" ht="54" customHeight="1">
      <x:c r="A21" s="238" t="n">
        <x:v>13</x:v>
      </x:c>
      <x:c r="B21" s="239" t="str">
        <x:v>라디오</x:v>
      </x:c>
      <x:c r="C21" s="237" t="str">
        <x:v>전 프로젝트 공용</x:v>
      </x:c>
      <x:c r="D21" s="214" t="str">
        <x:v>Size 16px · H 16px · P 8px 0 · Gap 8px · Type 12px · R 50%</x:v>
      </x:c>
      <x:c r="E21" s="214" t="str">
        <x:v>.radio-label · native radio</x:v>
      </x:c>
      <x:c r="F21" s="214" t="str">
        <x:v>Core/라디오</x:v>
      </x:c>
      <x:c r="G21" s="214" t="str">
        <x:v>Variant=default · checked · disabled; Size=16px; Height=16px</x:v>
      </x:c>
      <x:c r="H21" s="246" t="str">
        <x:v>미제공</x:v>
      </x:c>
      <x:c r="I21" s="246" t="str">
        <x:v>원본 확인 필요</x:v>
      </x:c>
      <x:c r="J21" s="247" t="str">
        <x:v>직접 중복 근거 없음</x:v>
      </x:c>
      <x:c r="K21" s="248" t="str">
        <x:v>2차 후보</x:v>
      </x:c>
      <x:c r="L21" s="214" t="str">
        <x:v>폼 · 기존 코드 미변경; 별도 영역에서 독립 구현</x:v>
      </x:c>
    </x:row>
    <x:row r="22" ht="54" customHeight="1">
      <x:c r="A22" s="235" t="n">
        <x:v>14</x:v>
      </x:c>
      <x:c r="B22" s="236" t="str">
        <x:v>셀렉트</x:v>
      </x:c>
      <x:c r="C22" s="237" t="str">
        <x:v>전 프로젝트 공용</x:v>
      </x:c>
      <x:c r="D22" s="211" t="str">
        <x:v>Size 100% · H 자동 · P 8px 12px · Gap - · Type 13px · R 6px</x:v>
      </x:c>
      <x:c r="E22" s="211" t="str">
        <x:v>.form-select · native select</x:v>
      </x:c>
      <x:c r="F22" s="211" t="str">
        <x:v>Core/셀렉트</x:v>
      </x:c>
      <x:c r="G22" s="211" t="str">
        <x:v>Variant=default · focus · error · success · disabled; Size=100%; Height=자동</x:v>
      </x:c>
      <x:c r="H22" s="246" t="str">
        <x:v>미제공</x:v>
      </x:c>
      <x:c r="I22" s="246" t="str">
        <x:v>원본 확인 필요</x:v>
      </x:c>
      <x:c r="J22" s="247" t="str">
        <x:v>직접 중복 근거 없음</x:v>
      </x:c>
      <x:c r="K22" s="248" t="str">
        <x:v>2차 후보</x:v>
      </x:c>
      <x:c r="L22" s="211" t="str">
        <x:v>폼 · 기존 코드 미변경; 별도 영역에서 독립 구현</x:v>
      </x:c>
    </x:row>
    <x:row r="23" ht="54" customHeight="1">
      <x:c r="A23" s="238" t="n">
        <x:v>15</x:v>
      </x:c>
      <x:c r="B23" s="239" t="str">
        <x:v>텍스트영역</x:v>
      </x:c>
      <x:c r="C23" s="237" t="str">
        <x:v>전 프로젝트 공용</x:v>
      </x:c>
      <x:c r="D23" s="214" t="str">
        <x:v>Size 100% · H 콘텐츠/최소높이 · P 10px 14px · Gap - · Type 12px/1.7 · R 6px</x:v>
      </x:c>
      <x:c r="E23" s="214" t="str">
        <x:v>.form-textarea · window.AIOneTextarea · 자동 높이 초기화</x:v>
      </x:c>
      <x:c r="F23" s="214" t="str">
        <x:v>Core/텍스트영역</x:v>
      </x:c>
      <x:c r="G23" s="214" t="str">
        <x:v>Variant=default · focus · error · success · disabled · readonly · autoheight; Size=100%; Height=콘텐츠/최소높이</x:v>
      </x:c>
      <x:c r="H23" s="246" t="str">
        <x:v>미제공</x:v>
      </x:c>
      <x:c r="I23" s="246" t="str">
        <x:v>원본 확인 필요</x:v>
      </x:c>
      <x:c r="J23" s="247" t="str">
        <x:v>직접 중복 근거 없음</x:v>
      </x:c>
      <x:c r="K23" s="248" t="str">
        <x:v>2차 후보</x:v>
      </x:c>
      <x:c r="L23" s="214" t="str">
        <x:v>폼 · 기존 코드 미변경; 별도 영역에서 독립 구현</x:v>
      </x:c>
    </x:row>
    <x:row r="24" ht="54" customHeight="1">
      <x:c r="A24" s="235" t="n">
        <x:v>16</x:v>
      </x:c>
      <x:c r="B24" s="236" t="str">
        <x:v>토글</x:v>
      </x:c>
      <x:c r="C24" s="237" t="str">
        <x:v>전 프로젝트 공용</x:v>
      </x:c>
      <x:c r="D24" s="211" t="str">
        <x:v>Size 행 100% · H 컨트롤 종속 · P 10px 14px · Gap 16px · Type 12px · R 6px/999px</x:v>
      </x:c>
      <x:c r="E24" s="211" t="str">
        <x:v>.toggle-switch · .toggle-row · native checkbox/aria-checked</x:v>
      </x:c>
      <x:c r="F24" s="211" t="str">
        <x:v>Core/토글</x:v>
      </x:c>
      <x:c r="G24" s="211" t="str">
        <x:v>Variant=default · checked · disabled · notification; Size=행 100%; Height=컨트롤 종속</x:v>
      </x:c>
      <x:c r="H24" s="246" t="str">
        <x:v>미제공</x:v>
      </x:c>
      <x:c r="I24" s="246" t="str">
        <x:v>원본 확인 필요</x:v>
      </x:c>
      <x:c r="J24" s="247" t="str">
        <x:v>직접 중복 근거 없음</x:v>
      </x:c>
      <x:c r="K24" s="248" t="str">
        <x:v>2차 후보</x:v>
      </x:c>
      <x:c r="L24" s="211" t="str">
        <x:v>폼 · 기존 코드 미변경; 별도 영역에서 독립 구현</x:v>
      </x:c>
    </x:row>
    <x:row r="25" ht="54" customHeight="1">
      <x:c r="A25" s="238" t="n">
        <x:v>17</x:v>
      </x:c>
      <x:c r="B25" s="239" t="str">
        <x:v>필터 버튼</x:v>
      </x:c>
      <x:c r="C25" s="237" t="str">
        <x:v>전 프로젝트 공용</x:v>
      </x:c>
      <x:c r="D25" s="214" t="str">
        <x:v>Size 콘텐츠 폭 · H 자동 · P 4px 10px · Gap 5px · Type 11px · R 14px</x:v>
      </x:c>
      <x:c r="E25" s="214" t="str">
        <x:v>.filter-btn · window.AIOneFilterButtons · data-filter · aria-pressed</x:v>
      </x:c>
      <x:c r="F25" s="214" t="str">
        <x:v>Core/필터 버튼</x:v>
      </x:c>
      <x:c r="G25" s="214" t="str">
        <x:v>Variant=all · single · multi · none · excluded; Size=콘텐츠 폭; Height=자동</x:v>
      </x:c>
      <x:c r="H25" s="246" t="str">
        <x:v>미제공</x:v>
      </x:c>
      <x:c r="I25" s="246" t="str">
        <x:v>원본 확인 필요</x:v>
      </x:c>
      <x:c r="J25" s="247" t="str">
        <x:v>DUP-05 Filter: 공통 FilterButtons / 화면별 필터 상태</x:v>
      </x:c>
      <x:c r="K25" s="248" t="str">
        <x:v>2차 후보</x:v>
      </x:c>
      <x:c r="L25" s="214" t="str">
        <x:v>내비게이션 · 기존 코드 미변경; 별도 영역에서 독립 구현</x:v>
      </x:c>
    </x:row>
    <x:row r="26" ht="54" customHeight="1">
      <x:c r="A26" s="235" t="n">
        <x:v>18</x:v>
      </x:c>
      <x:c r="B26" s="236" t="str">
        <x:v>파일 업로드</x:v>
      </x:c>
      <x:c r="C26" s="237" t="str">
        <x:v>전 프로젝트 공용</x:v>
      </x:c>
      <x:c r="D26" s="211" t="str">
        <x:v>Size 100% · H 기본 122px · P 22px 12px 18px · Gap 8px · Type 11~13px · R 10px</x:v>
      </x:c>
      <x:c r="E26" s="211" t="str">
        <x:v>.upload-zone · window.AIOneFileUpload · data-file-upload-zone · drag events</x:v>
      </x:c>
      <x:c r="F26" s="211" t="str">
        <x:v>Core/파일 업로드</x:v>
      </x:c>
      <x:c r="G26" s="211" t="str">
        <x:v>Variant=default · type2 · type3 · reference · smart · dragover; Size=100%; Height=기본 122px</x:v>
      </x:c>
      <x:c r="H26" s="246" t="str">
        <x:v>미제공</x:v>
      </x:c>
      <x:c r="I26" s="246" t="str">
        <x:v>원본 확인 필요</x:v>
      </x:c>
      <x:c r="J26" s="247" t="str">
        <x:v>직접 중복 근거 없음</x:v>
      </x:c>
      <x:c r="K26" s="248" t="str">
        <x:v>2차 후보</x:v>
      </x:c>
      <x:c r="L26" s="211" t="str">
        <x:v>폼 · 기존 코드 미변경; 별도 영역에서 독립 구현</x:v>
      </x:c>
    </x:row>
    <x:row r="27" ht="54" customHeight="1">
      <x:c r="A27" s="238" t="n">
        <x:v>19</x:v>
      </x:c>
      <x:c r="B27" s="239" t="str">
        <x:v>파일 항목</x:v>
      </x:c>
      <x:c r="C27" s="237" t="str">
        <x:v>전 프로젝트 공용</x:v>
      </x:c>
      <x:c r="D27" s="214" t="str">
        <x:v>Size 100% · H 자동 · P 8~12px · Gap 8px · Type 11~13px · R 6~10px</x:v>
      </x:c>
      <x:c r="E27" s="214" t="str">
        <x:v>.file-item-* · window.AIOneFileItem · data-file-state · retry/remove</x:v>
      </x:c>
      <x:c r="F27" s="214" t="str">
        <x:v>Core/파일 항목</x:v>
      </x:c>
      <x:c r="G27" s="214" t="str">
        <x:v>Variant=default · simple · pending/processing/done/error · menu; Size=100%; Height=자동</x:v>
      </x:c>
      <x:c r="H27" s="246" t="str">
        <x:v>미제공</x:v>
      </x:c>
      <x:c r="I27" s="246" t="str">
        <x:v>원본 확인 필요</x:v>
      </x:c>
      <x:c r="J27" s="247" t="str">
        <x:v>직접 중복 근거 없음</x:v>
      </x:c>
      <x:c r="K27" s="248" t="str">
        <x:v>2차 후보</x:v>
      </x:c>
      <x:c r="L27" s="214" t="str">
        <x:v>데이터 표시 · 기존 코드 미변경; 별도 영역에서 독립 구현</x:v>
      </x:c>
    </x:row>
    <x:row r="28" ht="54" customHeight="1">
      <x:c r="A28" s="235" t="n">
        <x:v>20</x:v>
      </x:c>
      <x:c r="B28" s="236" t="str">
        <x:v>파일 목록</x:v>
      </x:c>
      <x:c r="C28" s="237" t="str">
        <x:v>전 프로젝트 공용</x:v>
      </x:c>
      <x:c r="D28" s="211" t="str">
        <x:v>Size 100% · H 목록 종속 · P 8~12px · Gap 6~10px · Type 11~13px · R 6~10px</x:v>
      </x:c>
      <x:c r="E28" s="211" t="str">
        <x:v>.file-list · .file-list-section · data-file-list-*</x:v>
      </x:c>
      <x:c r="F28" s="211" t="str">
        <x:v>Core/파일 목록</x:v>
      </x:c>
      <x:c r="G28" s="211" t="str">
        <x:v>Variant=default · collapsed · empty · sortable; Size=100%; Height=목록 종속</x:v>
      </x:c>
      <x:c r="H28" s="246" t="str">
        <x:v>미제공</x:v>
      </x:c>
      <x:c r="I28" s="246" t="str">
        <x:v>원본 확인 필요</x:v>
      </x:c>
      <x:c r="J28" s="247" t="str">
        <x:v>직접 중복 근거 없음</x:v>
      </x:c>
      <x:c r="K28" s="248" t="str">
        <x:v>2차 후보</x:v>
      </x:c>
      <x:c r="L28" s="211" t="str">
        <x:v>데이터 표시 · 기존 코드 미변경; 별도 영역에서 독립 구현</x:v>
      </x:c>
    </x:row>
    <x:row r="29" ht="54" customHeight="1">
      <x:c r="A29" s="238" t="n">
        <x:v>21</x:v>
      </x:c>
      <x:c r="B29" s="239" t="str">
        <x:v>드롭다운 메뉴</x:v>
      </x:c>
      <x:c r="C29" s="237" t="str">
        <x:v>전 프로젝트 공용</x:v>
      </x:c>
      <x:c r="D29" s="214" t="str">
        <x:v>Size 180~280px · H 자동 · P 6px · Gap 2~6px · Type 11~12px · R 10px</x:v>
      </x:c>
      <x:c r="E29" s="214" t="str">
        <x:v>.dropdown-menu · window.AIOneDropdownMenu · data-dropdown-menu/trigger · aria-expanded</x:v>
      </x:c>
      <x:c r="F29" s="214" t="str">
        <x:v>Core/드롭다운 메뉴</x:v>
      </x:c>
      <x:c r="G29" s="214" t="str">
        <x:v>Variant=default · compact · model · icon-action · bottom-end; Size=180~280px; Height=자동</x:v>
      </x:c>
      <x:c r="H29" s="246" t="str">
        <x:v>미제공</x:v>
      </x:c>
      <x:c r="I29" s="246" t="str">
        <x:v>원본 확인 필요</x:v>
      </x:c>
      <x:c r="J29" s="247" t="str">
        <x:v>DUP-06 Menu: Dropdown / action menu / account menu</x:v>
      </x:c>
      <x:c r="K29" s="248" t="str">
        <x:v>2차 후보</x:v>
      </x:c>
      <x:c r="L29" s="214" t="str">
        <x:v>내비게이션 · 기존 코드 미변경; 별도 영역에서 독립 구현</x:v>
      </x:c>
    </x:row>
    <x:row r="30" ht="54" customHeight="1">
      <x:c r="A30" s="235" t="n">
        <x:v>22</x:v>
      </x:c>
      <x:c r="B30" s="236" t="str">
        <x:v>툴팁</x:v>
      </x:c>
      <x:c r="C30" s="237" t="str">
        <x:v>전 프로젝트 공용</x:v>
      </x:c>
      <x:c r="D30" s="211" t="str">
        <x:v>Size max 280px · H 자동 · P 7px 10px · Gap - · Type 12px/600 · R 5px</x:v>
      </x:c>
      <x:c r="E30" s="211" t="str">
        <x:v>.ai-one-tooltip · window.AIOneTooltip · data-tooltip · role=tooltip</x:v>
      </x:c>
      <x:c r="F30" s="211" t="str">
        <x:v>Core/툴팁</x:v>
      </x:c>
      <x:c r="G30" s="211" t="str">
        <x:v>Variant=top · bottom · left · right; Size=max 280px; Height=자동</x:v>
      </x:c>
      <x:c r="H30" s="246" t="str">
        <x:v>미제공</x:v>
      </x:c>
      <x:c r="I30" s="246" t="str">
        <x:v>원본 확인 필요</x:v>
      </x:c>
      <x:c r="J30" s="247" t="str">
        <x:v>직접 중복 근거 없음</x:v>
      </x:c>
      <x:c r="K30" s="248" t="str">
        <x:v>2차 후보</x:v>
      </x:c>
      <x:c r="L30" s="211" t="str">
        <x:v>피드백 · 기존 코드 미변경; 별도 영역에서 독립 구현</x:v>
      </x:c>
    </x:row>
    <x:row r="31" ht="54" customHeight="1">
      <x:c r="A31" s="238" t="n">
        <x:v>23</x:v>
      </x:c>
      <x:c r="B31" s="239" t="str">
        <x:v>데이터 테이블</x:v>
      </x:c>
      <x:c r="C31" s="237" t="str">
        <x:v>전 프로젝트 공용</x:v>
      </x:c>
      <x:c r="D31" s="214" t="str">
        <x:v>Size 100% · H 콘텐츠 종속 · P 셀 10~12px · Gap - · Type 11~13px · R 12px 외곽</x:v>
      </x:c>
      <x:c r="E31" s="214" t="str">
        <x:v>.table-area · window.AIOneDataTable · data-datatable · sort/select/loading</x:v>
      </x:c>
      <x:c r="F31" s="214" t="str">
        <x:v>Core/데이터 테이블</x:v>
      </x:c>
      <x:c r="G31" s="214" t="str">
        <x:v>Variant=default · loading · empty · selectable · sortable · actions; Size=100%; Height=콘텐츠 종속</x:v>
      </x:c>
      <x:c r="H31" s="246" t="str">
        <x:v>미제공</x:v>
      </x:c>
      <x:c r="I31" s="246" t="str">
        <x:v>원본 확인 필요</x:v>
      </x:c>
      <x:c r="J31" s="247" t="str">
        <x:v>직접 중복 근거 없음</x:v>
      </x:c>
      <x:c r="K31" s="248" t="str">
        <x:v>2차 후보</x:v>
      </x:c>
      <x:c r="L31" s="214" t="str">
        <x:v>데이터 표시 · 기존 코드 미변경; 별도 영역에서 독립 구현</x:v>
      </x:c>
    </x:row>
    <x:row r="32" ht="54" customHeight="1">
      <x:c r="A32" s="235" t="n">
        <x:v>24</x:v>
      </x:c>
      <x:c r="B32" s="236" t="str">
        <x:v>프로그레스 바</x:v>
      </x:c>
      <x:c r="C32" s="237" t="str">
        <x:v>전 프로젝트 공용</x:v>
      </x:c>
      <x:c r="D32" s="211" t="str">
        <x:v>Size 100% · H 6px/8px · P 0 · Gap 8px · Type 10~12px label · R 3px/4px</x:v>
      </x:c>
      <x:c r="E32" s="211" t="str">
        <x:v>.progressbar · window.AIOneProgressBar · data-progressbar · aria-valuenow</x:v>
      </x:c>
      <x:c r="F32" s="211" t="str">
        <x:v>Core/프로그레스 바</x:v>
      </x:c>
      <x:c r="G32" s="211" t="str">
        <x:v>Variant=default · lg · value band; Size=100%; Height=6px/8px</x:v>
      </x:c>
      <x:c r="H32" s="246" t="str">
        <x:v>미제공</x:v>
      </x:c>
      <x:c r="I32" s="246" t="str">
        <x:v>원본 확인 필요</x:v>
      </x:c>
      <x:c r="J32" s="247" t="str">
        <x:v>직접 중복 근거 없음</x:v>
      </x:c>
      <x:c r="K32" s="248" t="str">
        <x:v>2차 후보</x:v>
      </x:c>
      <x:c r="L32" s="211" t="str">
        <x:v>데이터 표시 · 기존 코드 미변경; 별도 영역에서 독립 구현</x:v>
      </x:c>
    </x:row>
    <x:row r="33" ht="54" customHeight="1">
      <x:c r="A33" s="238" t="n">
        <x:v>25</x:v>
      </x:c>
      <x:c r="B33" s="239" t="str">
        <x:v>패널</x:v>
      </x:c>
      <x:c r="C33" s="237" t="str">
        <x:v>전 프로젝트 공용</x:v>
      </x:c>
      <x:c r="D33" s="214" t="str">
        <x:v>Size 유동/변수 · H 100% · P 영역별 · Gap 8~12px · Type 11~15px · R 10px</x:v>
      </x:c>
      <x:c r="E33" s="214" t="str">
        <x:v>.panel · .panel-head · data-panel · collapsed state</x:v>
      </x:c>
      <x:c r="F33" s="214" t="str">
        <x:v>Core/패널</x:v>
      </x:c>
      <x:c r="G33" s="214" t="str">
        <x:v>Variant=left · center · right · collapsed; Size=유동/변수; Height=100%</x:v>
      </x:c>
      <x:c r="H33" s="246" t="str">
        <x:v>미제공</x:v>
      </x:c>
      <x:c r="I33" s="246" t="str">
        <x:v>원본 확인 필요</x:v>
      </x:c>
      <x:c r="J33" s="247" t="str">
        <x:v>직접 중복 근거 없음</x:v>
      </x:c>
      <x:c r="K33" s="248" t="str">
        <x:v>2차 후보</x:v>
      </x:c>
      <x:c r="L33" s="214" t="str">
        <x:v>레이아웃 · 기존 코드 미변경; 별도 영역에서 독립 구현</x:v>
      </x:c>
    </x:row>
    <x:row r="34" ht="54" customHeight="1">
      <x:c r="A34" s="235" t="n">
        <x:v>26</x:v>
      </x:c>
      <x:c r="B34" s="236" t="str">
        <x:v>분할 핸들러</x:v>
      </x:c>
      <x:c r="C34" s="237" t="str">
        <x:v>전 프로젝트 공용</x:v>
      </x:c>
      <x:c r="D34" s="211" t="str">
        <x:v>Size 핸들 폭 종속 · H 100%/유동 · P 0 · Gap - · Type - · R -</x:v>
      </x:c>
      <x:c r="E34" s="211" t="str">
        <x:v>.split-handler · window.AIOneSplitHandler · data-resize/data-split-min</x:v>
      </x:c>
      <x:c r="F34" s="211" t="str">
        <x:v>Core/분할 핸들러</x:v>
      </x:c>
      <x:c r="G34" s="211" t="str">
        <x:v>Variant=type1 좌우 · type2 상하 · keyboard reset; Size=핸들 폭 종속; Height=100%/유동</x:v>
      </x:c>
      <x:c r="H34" s="246" t="str">
        <x:v>미제공</x:v>
      </x:c>
      <x:c r="I34" s="246" t="str">
        <x:v>원본 확인 필요</x:v>
      </x:c>
      <x:c r="J34" s="247" t="str">
        <x:v>직접 중복 근거 없음</x:v>
      </x:c>
      <x:c r="K34" s="248" t="str">
        <x:v>2차 후보</x:v>
      </x:c>
      <x:c r="L34" s="211" t="str">
        <x:v>레이아웃 · 기존 코드 미변경; 별도 영역에서 독립 구현</x:v>
      </x:c>
    </x:row>
    <x:row r="35" ht="54" customHeight="1">
      <x:c r="A35" s="238" t="n">
        <x:v>27</x:v>
      </x:c>
      <x:c r="B35" s="239" t="str">
        <x:v>사이드바</x:v>
      </x:c>
      <x:c r="C35" s="237" t="str">
        <x:v>전 프로젝트 공용</x:v>
      </x:c>
      <x:c r="D35" s="214" t="str">
        <x:v>Size 200px/56px · H 100vh · P 영역별 · Gap 8~10px · Type 11~13px · R -</x:v>
      </x:c>
      <x:c r="E35" s="214" t="str">
        <x:v>.sidebar · window.AIOneSidebar · data-route · aria-expanded · account menu</x:v>
      </x:c>
      <x:c r="F35" s="214" t="str">
        <x:v>Core/사이드바</x:v>
      </x:c>
      <x:c r="G35" s="214" t="str">
        <x:v>Variant=expanded · collapsed · responsive · completion; Size=200px/56px; Height=100vh</x:v>
      </x:c>
      <x:c r="H35" s="246" t="str">
        <x:v>미제공</x:v>
      </x:c>
      <x:c r="I35" s="246" t="str">
        <x:v>원본 확인 필요</x:v>
      </x:c>
      <x:c r="J35" s="247" t="str">
        <x:v>DUP-07 Sidebar: 전역 Sidebar / Chatbot Sidebar</x:v>
      </x:c>
      <x:c r="K35" s="248" t="str">
        <x:v>2차 후보</x:v>
      </x:c>
      <x:c r="L35" s="214" t="str">
        <x:v>내비게이션 · 기존 코드 미변경; 별도 영역에서 독립 구현</x:v>
      </x:c>
    </x:row>
    <x:row r="36" ht="54" customHeight="1">
      <x:c r="A36" s="235" t="n">
        <x:v>28</x:v>
      </x:c>
      <x:c r="B36" s="236" t="str">
        <x:v>탑바</x:v>
      </x:c>
      <x:c r="C36" s="237" t="str">
        <x:v>전 프로젝트 공용</x:v>
      </x:c>
      <x:c r="D36" s="211" t="str">
        <x:v>Size 100% · H 56px · P 0 12px 0 20px · Gap 16px · Type 11/15px · R -</x:v>
      </x:c>
      <x:c r="E36" s="211" t="str">
        <x:v>.app-topbar · window.AIOneTopbar · data-topbar-title/subtitle · font percent</x:v>
      </x:c>
      <x:c r="F36" s="211" t="str">
        <x:v>Core/탑바</x:v>
      </x:c>
      <x:c r="G36" s="211" t="str">
        <x:v>Variant=default · type1 · workspace slot · actions; Size=100%; Height=56px</x:v>
      </x:c>
      <x:c r="H36" s="246" t="str">
        <x:v>미제공</x:v>
      </x:c>
      <x:c r="I36" s="246" t="str">
        <x:v>원본 확인 필요</x:v>
      </x:c>
      <x:c r="J36" s="247" t="str">
        <x:v>직접 중복 근거 없음</x:v>
      </x:c>
      <x:c r="K36" s="248" t="str">
        <x:v>2차 후보</x:v>
      </x:c>
      <x:c r="L36" s="211" t="str">
        <x:v>내비게이션 · 기존 코드 미변경; 별도 영역에서 독립 구현</x:v>
      </x:c>
    </x:row>
    <x:row r="37" ht="54" customHeight="1">
      <x:c r="A37" s="238" t="n">
        <x:v>29</x:v>
      </x:c>
      <x:c r="B37" s="239" t="str">
        <x:v>모달</x:v>
      </x:c>
      <x:c r="C37" s="237" t="str">
        <x:v>전 프로젝트 공용</x:v>
      </x:c>
      <x:c r="D37" s="214" t="str">
        <x:v>Size 160/360/380/430/960px · H viewport 종속 · P 16px 외곽·24px 기본 · Gap 8~16px · Type 11~15px · R 10/12px</x:v>
      </x:c>
      <x:c r="E37" s="214" t="str">
        <x:v>.modal · window.AIOneModal/AIOneLayerFactory · data-modal-open/close/variant · focus trap</x:v>
      </x:c>
      <x:c r="F37" s="214" t="str">
        <x:v>Core/모달</x:v>
      </x:c>
      <x:c r="G37" s="214" t="str">
        <x:v>Variant=action-menu · profile/settings · content · confirm/cancel/alert/logout/rename/form; Size=160/360/380/430/960px; Height=viewport 종속</x:v>
      </x:c>
      <x:c r="H37" s="246" t="str">
        <x:v>미제공</x:v>
      </x:c>
      <x:c r="I37" s="246" t="str">
        <x:v>원본 확인 필요</x:v>
      </x:c>
      <x:c r="J37" s="247" t="str">
        <x:v>DUP-08 Layer: 공통 Modal / 화면별 대형 Modal 조합</x:v>
      </x:c>
      <x:c r="K37" s="248" t="str">
        <x:v>1차 구현</x:v>
      </x:c>
      <x:c r="L37" s="214" t="str">
        <x:v>피드백 · 기존 코드 미변경; 별도 영역에서 독립 구현</x:v>
      </x:c>
    </x:row>
    <x:row r="38" ht="54" customHeight="1">
      <x:c r="A38" s="235" t="n">
        <x:v>30</x:v>
      </x:c>
      <x:c r="B38" s="236" t="str">
        <x:v>사이드팝/드로어</x:v>
      </x:c>
      <x:c r="C38" s="237" t="str">
        <x:v>전 프로젝트 공용</x:v>
      </x:c>
      <x:c r="D38" s="211" t="str">
        <x:v>Size 360/420/460/900px · H 100vh · P header 16px 20px · body 20px · Gap 8px · Type 11~15px · R 6~10px</x:v>
      </x:c>
      <x:c r="E38" s="211" t="str">
        <x:v>.drawer · window.AIOneSidePop · data-sidepop-* · child modal</x:v>
      </x:c>
      <x:c r="F38" s="211" t="str">
        <x:v>Core/사이드팝/드로어</x:v>
      </x:c>
      <x:c r="G38" s="211" t="str">
        <x:v>Variant=left/right · small/medium/large/xlarge · run-list/content; Size=360/420/460/900px; Height=100vh</x:v>
      </x:c>
      <x:c r="H38" s="246" t="str">
        <x:v>미제공</x:v>
      </x:c>
      <x:c r="I38" s="246" t="str">
        <x:v>원본 확인 필요</x:v>
      </x:c>
      <x:c r="J38" s="247" t="str">
        <x:v>DUP-09 Drawer: SidePop / Rule panel / Report drawer</x:v>
      </x:c>
      <x:c r="K38" s="248" t="str">
        <x:v>2차 후보</x:v>
      </x:c>
      <x:c r="L38" s="211" t="str">
        <x:v>피드백 · 기존 코드 미변경; 별도 영역에서 독립 구현</x:v>
      </x:c>
    </x:row>
    <x:row r="39" ht="54" customHeight="1">
      <x:c r="A39" s="238" t="n">
        <x:v>31</x:v>
      </x:c>
      <x:c r="B39" s="239" t="str">
        <x:v>토스트</x:v>
      </x:c>
      <x:c r="C39" s="237" t="str">
        <x:v>전 프로젝트 공용</x:v>
      </x:c>
      <x:c r="D39" s="214" t="str">
        <x:v>Size max 400px/360px · H min 36px · P 9px 20px / 13px 14px · Gap 10px · Type 11px · R 11/12px</x:v>
      </x:c>
      <x:c r="E39" s="214" t="str">
        <x:v>.ai-one-toast · window.AIOneToast · data-toast · role=status</x:v>
      </x:c>
      <x:c r="F39" s="214" t="str">
        <x:v>Core/토스트</x:v>
      </x:c>
      <x:c r="G39" s="214" t="str">
        <x:v>Variant=default · long-running notification; Size=max 400px/360px; Height=min 36px</x:v>
      </x:c>
      <x:c r="H39" s="246" t="str">
        <x:v>미제공</x:v>
      </x:c>
      <x:c r="I39" s="246" t="str">
        <x:v>원본 확인 필요</x:v>
      </x:c>
      <x:c r="J39" s="247" t="str">
        <x:v>직접 중복 근거 없음</x:v>
      </x:c>
      <x:c r="K39" s="248" t="str">
        <x:v>2차 후보</x:v>
      </x:c>
      <x:c r="L39" s="214" t="str">
        <x:v>피드백 · 기존 코드 미변경; 별도 영역에서 독립 구현</x:v>
      </x:c>
    </x:row>
    <x:row r="40" ht="54" customHeight="1">
      <x:c r="A40" s="235" t="n">
        <x:v>32</x:v>
      </x:c>
      <x:c r="B40" s="236" t="str">
        <x:v>탭</x:v>
      </x:c>
      <x:c r="C40" s="237" t="str">
        <x:v>전 프로젝트 공용</x:v>
      </x:c>
      <x:c r="D40" s="211" t="str">
        <x:v>Size 콘텐츠 폭 · H 38px/자동 · P 0 14px · 6px 16px · Gap 4~5px · Type 12px · R 6~10px</x:v>
      </x:c>
      <x:c r="E40" s="211" t="str">
        <x:v>.tab/.tab-button-list · 페이지별 tab JS · aria-selected · tab-panel hidden</x:v>
      </x:c>
      <x:c r="F40" s="211" t="str">
        <x:v>Core/탭</x:v>
      </x:c>
      <x:c r="G40" s="211" t="str">
        <x:v>Variant=underline · segmented · soft · count; Size=콘텐츠 폭; Height=38px/자동</x:v>
      </x:c>
      <x:c r="H40" s="246" t="str">
        <x:v>미제공</x:v>
      </x:c>
      <x:c r="I40" s="246" t="str">
        <x:v>원본 확인 필요</x:v>
      </x:c>
      <x:c r="J40" s="247" t="str">
        <x:v>DUP-10 Tab: 공통 CSS / 페이지별 Tab JS</x:v>
      </x:c>
      <x:c r="K40" s="248" t="str">
        <x:v>2차 후보</x:v>
      </x:c>
      <x:c r="L40" s="211" t="str">
        <x:v>내비게이션 · 기존 코드 미변경; 별도 영역에서 독립 구현</x:v>
      </x:c>
    </x:row>
    <x:row r="41" ht="54" customHeight="1">
      <x:c r="A41" s="238" t="n">
        <x:v>33</x:v>
      </x:c>
      <x:c r="B41" s="239" t="str">
        <x:v>빈 상태</x:v>
      </x:c>
      <x:c r="C41" s="237" t="str">
        <x:v>전 프로젝트 공용</x:v>
      </x:c>
      <x:c r="D41" s="214" t="str">
        <x:v>Size 영역 종속 · H 콘텐츠 종속 · P 영역별 · Gap 8~12px · Type 12~16px · R -</x:v>
      </x:c>
      <x:c r="E41" s="214" t="str">
        <x:v>.empty-state · .empty-title · .empty-desc · hidden/visible state</x:v>
      </x:c>
      <x:c r="F41" s="214" t="str">
        <x:v>Core/빈 상태</x:v>
      </x:c>
      <x:c r="G41" s="214" t="str">
        <x:v>Variant=title · description · action; Size=영역 종속; Height=콘텐츠 종속</x:v>
      </x:c>
      <x:c r="H41" s="246" t="str">
        <x:v>미제공</x:v>
      </x:c>
      <x:c r="I41" s="246" t="str">
        <x:v>원본 확인 필요</x:v>
      </x:c>
      <x:c r="J41" s="247" t="str">
        <x:v>직접 중복 근거 없음</x:v>
      </x:c>
      <x:c r="K41" s="248" t="str">
        <x:v>2차 후보</x:v>
      </x:c>
      <x:c r="L41" s="214" t="str">
        <x:v>피드백 · 기존 코드 미변경; 별도 영역에서 독립 구현</x:v>
      </x:c>
    </x:row>
    <x:row r="42" ht="54" customHeight="1">
      <x:c r="A42" s="235" t="n">
        <x:v>34</x:v>
      </x:c>
      <x:c r="B42" s="236" t="str">
        <x:v>채팅 메시지</x:v>
      </x:c>
      <x:c r="C42" s="237" t="str">
        <x:v>AI 서비스 공용</x:v>
      </x:c>
      <x:c r="D42" s="211" t="str">
        <x:v>Size 패널 폭 · H 콘텐츠 종속 · P 메시지별 · Gap 6~10px · Type 12~14px · R 8~12px</x:v>
      </x:c>
      <x:c r="E42" s="211" t="str">
        <x:v>.chat-msg · window.ChatMessage · data-chat-message-* · action event</x:v>
      </x:c>
      <x:c r="F42" s="211" t="str">
        <x:v>AI/채팅 메시지</x:v>
      </x:c>
      <x:c r="G42" s="211" t="str">
        <x:v>Variant=user · ai · pending · typing · actions · report; Size=패널 폭; Height=콘텐츠 종속</x:v>
      </x:c>
      <x:c r="H42" s="246" t="str">
        <x:v>미제공</x:v>
      </x:c>
      <x:c r="I42" s="246" t="str">
        <x:v>원본 확인 필요</x:v>
      </x:c>
      <x:c r="J42" s="247" t="str">
        <x:v>직접 중복 근거 없음</x:v>
      </x:c>
      <x:c r="K42" s="248" t="str">
        <x:v>2차 후보</x:v>
      </x:c>
      <x:c r="L42" s="211" t="str">
        <x:v>AI UI · 공통 조합 후보; 별도 영역에서 계약만 검증</x:v>
      </x:c>
    </x:row>
    <x:row r="43" ht="54" customHeight="1">
      <x:c r="A43" s="238" t="n">
        <x:v>35</x:v>
      </x:c>
      <x:c r="B43" s="239" t="str">
        <x:v>프롬프트 작성기</x:v>
      </x:c>
      <x:c r="C43" s="237" t="str">
        <x:v>AI 서비스 공용</x:v>
      </x:c>
      <x:c r="D43" s="214" t="str">
        <x:v>Size 100% · H 콘텐츠 종속 · P 12px 18px · Gap 8px · Type 14px · R 28px</x:v>
      </x:c>
      <x:c r="E43" s="214" t="str">
        <x:v>.prompt-composer · window.AIOnePromptComposer · data-prompt-*</x:v>
      </x:c>
      <x:c r="F43" s="214" t="str">
        <x:v>AI/프롬프트 작성기</x:v>
      </x:c>
      <x:c r="G43" s="214" t="str">
        <x:v>Variant=default · file attached · model menu · disabled submit; Size=100%; Height=콘텐츠 종속</x:v>
      </x:c>
      <x:c r="H43" s="246" t="str">
        <x:v>미제공</x:v>
      </x:c>
      <x:c r="I43" s="246" t="str">
        <x:v>원본 확인 필요</x:v>
      </x:c>
      <x:c r="J43" s="247" t="str">
        <x:v>직접 중복 근거 없음</x:v>
      </x:c>
      <x:c r="K43" s="248" t="str">
        <x:v>2차 후보</x:v>
      </x:c>
      <x:c r="L43" s="214" t="str">
        <x:v>AI UI · 공통 조합 후보; 별도 영역에서 계약만 검증</x:v>
      </x:c>
    </x:row>
    <x:row r="44" ht="54" customHeight="1">
      <x:c r="A44" s="235" t="n">
        <x:v>36</x:v>
      </x:c>
      <x:c r="B44" s="236" t="str">
        <x:v>챗봇 사이드바</x:v>
      </x:c>
      <x:c r="C44" s="237" t="str">
        <x:v>AI 서비스 공용</x:v>
      </x:c>
      <x:c r="D44" s="211" t="str">
        <x:v>Size 200/56px · H 100vh · P 영역별 · Gap 8~10px · Type 11~13px · R -</x:v>
      </x:c>
      <x:c r="E44" s="211" t="str">
        <x:v>.chatbot-sidebar · AIOneSidebar 내부 계약 · singleton 초기화</x:v>
      </x:c>
      <x:c r="F44" s="211" t="str">
        <x:v>AI/챗봇 사이드바</x:v>
      </x:c>
      <x:c r="G44" s="211" t="str">
        <x:v>Variant=singleton · collapsed responsive; Size=200/56px; Height=100vh</x:v>
      </x:c>
      <x:c r="H44" s="246" t="str">
        <x:v>미제공</x:v>
      </x:c>
      <x:c r="I44" s="246" t="str">
        <x:v>원본 확인 필요</x:v>
      </x:c>
      <x:c r="J44" s="247" t="str">
        <x:v>DUP-07 Sidebar: 전역 Sidebar / Chatbot Sidebar</x:v>
      </x:c>
      <x:c r="K44" s="248" t="str">
        <x:v>2차 후보</x:v>
      </x:c>
      <x:c r="L44" s="211" t="str">
        <x:v>AI UI · 공통 조합 후보; 별도 영역에서 계약만 검증</x:v>
      </x:c>
    </x:row>
    <x:row r="45" ht="54" customHeight="1">
      <x:c r="A45" s="238" t="n">
        <x:v>37</x:v>
      </x:c>
      <x:c r="B45" s="239" t="str">
        <x:v>문서 상태 표시줄</x:v>
      </x:c>
      <x:c r="C45" s="237" t="str">
        <x:v>AI 서비스 공용</x:v>
      </x:c>
      <x:c r="D45" s="214" t="str">
        <x:v>Size 100% · H 자동 · P 영역별 · Gap 6~8px · Type 11~12px · R 6px</x:v>
      </x:c>
      <x:c r="E45" s="214" t="str">
        <x:v>.document-statusbar · window.AIOneDocumentStatusBar · data-document-statusbar-*</x:v>
      </x:c>
      <x:c r="F45" s="214" t="str">
        <x:v>AI/문서 상태 표시줄</x:v>
      </x:c>
      <x:c r="G45" s="214" t="str">
        <x:v>Variant=page · zoom · fullscreen · character count; Size=100%; Height=자동</x:v>
      </x:c>
      <x:c r="H45" s="246" t="str">
        <x:v>미제공</x:v>
      </x:c>
      <x:c r="I45" s="246" t="str">
        <x:v>원본 확인 필요</x:v>
      </x:c>
      <x:c r="J45" s="247" t="str">
        <x:v>DUP-11 Document: StatusBar / Preview / WebDoc 조합</x:v>
      </x:c>
      <x:c r="K45" s="248" t="str">
        <x:v>2차 후보</x:v>
      </x:c>
      <x:c r="L45" s="214" t="str">
        <x:v>문서 UI · 공통 조합 후보; 별도 영역에서 계약만 검증</x:v>
      </x:c>
    </x:row>
    <x:row r="46" ht="54" customHeight="1">
      <x:c r="A46" s="235" t="n">
        <x:v>38</x:v>
      </x:c>
      <x:c r="B46" s="236" t="str">
        <x:v>선택된 관련자료</x:v>
      </x:c>
      <x:c r="C46" s="237" t="str">
        <x:v>AI 서비스 공용</x:v>
      </x:c>
      <x:c r="D46" s="211" t="str">
        <x:v>Size 100% · H 목록 종속 · P 8~12px · Gap 6~8px · Type 11~12px · R 6~10px</x:v>
      </x:c>
      <x:c r="E46" s="211" t="str">
        <x:v>.selected-refs-* · data-ref-id/data-remove-id</x:v>
      </x:c>
      <x:c r="F46" s="211" t="str">
        <x:v>AI/선택된 관련자료</x:v>
      </x:c>
      <x:c r="G46" s="211" t="str">
        <x:v>Variant=list · empty guide · remove · score; Size=100%; Height=목록 종속</x:v>
      </x:c>
      <x:c r="H46" s="246" t="str">
        <x:v>미제공</x:v>
      </x:c>
      <x:c r="I46" s="246" t="str">
        <x:v>원본 확인 필요</x:v>
      </x:c>
      <x:c r="J46" s="247" t="str">
        <x:v>직접 중복 근거 없음</x:v>
      </x:c>
      <x:c r="K46" s="248" t="str">
        <x:v>2차 후보</x:v>
      </x:c>
      <x:c r="L46" s="211" t="str">
        <x:v>문서 UI · 공통 조합 후보; 별도 영역에서 계약만 검증</x:v>
      </x:c>
    </x:row>
    <x:row r="47" ht="54" customHeight="1">
      <x:c r="A47" s="238" t="n">
        <x:v>39</x:v>
      </x:c>
      <x:c r="B47" s="239" t="str">
        <x:v>문서 미리보기</x:v>
      </x:c>
      <x:c r="C47" s="237" t="str">
        <x:v>AI 서비스 공용</x:v>
      </x:c>
      <x:c r="D47" s="214" t="str">
        <x:v>Size 패널 종속 · H 100% · P 영역별 · Gap 8px · Type 11~13px · R -</x:v>
      </x:c>
      <x:c r="E47" s="214" t="str">
        <x:v>.preview-body · .preview-footer · document statusbar 연계</x:v>
      </x:c>
      <x:c r="F47" s="214" t="str">
        <x:v>AI/문서 미리보기</x:v>
      </x:c>
      <x:c r="G47" s="214" t="str">
        <x:v>Variant=body · footer · fullscreen; Size=패널 종속; Height=100%</x:v>
      </x:c>
      <x:c r="H47" s="246" t="str">
        <x:v>미제공</x:v>
      </x:c>
      <x:c r="I47" s="246" t="str">
        <x:v>원본 확인 필요</x:v>
      </x:c>
      <x:c r="J47" s="247" t="str">
        <x:v>DUP-11 Document: StatusBar / Preview / WebDoc 조합</x:v>
      </x:c>
      <x:c r="K47" s="248" t="str">
        <x:v>2차 후보</x:v>
      </x:c>
      <x:c r="L47" s="214" t="str">
        <x:v>문서 UI · 공통 조합 후보; 별도 영역에서 계약만 검증</x:v>
      </x:c>
    </x:row>
    <x:row r="48" ht="54" customHeight="1">
      <x:c r="A48" s="235" t="n">
        <x:v>40</x:v>
      </x:c>
      <x:c r="B48" s="236" t="str">
        <x:v>웹 문서</x:v>
      </x:c>
      <x:c r="C48" s="237" t="str">
        <x:v>AI 서비스 공용</x:v>
      </x:c>
      <x:c r="D48" s="211" t="str">
        <x:v>Size 패널 폭 · H 콘텐츠 종속 · P 문서형 · Gap 문서형 · Type 12~18px · R -</x:v>
      </x:c>
      <x:c r="E48" s="211" t="str">
        <x:v>.web-doc-* · data 비교/검증 슬롯</x:v>
      </x:c>
      <x:c r="F48" s="211" t="str">
        <x:v>AI/웹 문서</x:v>
      </x:c>
      <x:c r="G48" s="211" t="str">
        <x:v>Variant=page · header · section · table · diff highlight; Size=패널 폭; Height=콘텐츠 종속</x:v>
      </x:c>
      <x:c r="H48" s="246" t="str">
        <x:v>미제공</x:v>
      </x:c>
      <x:c r="I48" s="246" t="str">
        <x:v>원본 확인 필요</x:v>
      </x:c>
      <x:c r="J48" s="247" t="str">
        <x:v>DUP-11 Document: StatusBar / Preview / WebDoc 조합</x:v>
      </x:c>
      <x:c r="K48" s="248" t="str">
        <x:v>2차 후보</x:v>
      </x:c>
      <x:c r="L48" s="211" t="str">
        <x:v>문서 UI · 공통 조합 후보; 별도 영역에서 계약만 검증</x:v>
      </x:c>
    </x:row>
    <x:row r="49" ht="54" customHeight="1">
      <x:c r="A49" s="238" t="n">
        <x:v>41</x:v>
      </x:c>
      <x:c r="B49" s="239" t="str">
        <x:v>채팅 패널</x:v>
      </x:c>
      <x:c r="C49" s="237" t="str">
        <x:v>AI 서비스 공용</x:v>
      </x:c>
      <x:c r="D49" s="214" t="str">
        <x:v>Size 패널 종속 · H 100% · P 영역별 · Gap 8px · Type 12~15px · R -</x:v>
      </x:c>
      <x:c r="E49" s="214" t="str">
        <x:v>.chat-input-area · .chat-window-actions · ChatMessage/PromptComposer 조합</x:v>
      </x:c>
      <x:c r="F49" s="214" t="str">
        <x:v>AI/채팅 패널</x:v>
      </x:c>
      <x:c r="G49" s="214" t="str">
        <x:v>Variant=header actions · message list · input area; Size=패널 종속; Height=100%</x:v>
      </x:c>
      <x:c r="H49" s="246" t="str">
        <x:v>미제공</x:v>
      </x:c>
      <x:c r="I49" s="246" t="str">
        <x:v>원본 확인 필요</x:v>
      </x:c>
      <x:c r="J49" s="247" t="str">
        <x:v>직접 중복 근거 없음</x:v>
      </x:c>
      <x:c r="K49" s="248" t="str">
        <x:v>2차 후보</x:v>
      </x:c>
      <x:c r="L49" s="214" t="str">
        <x:v>AI UI · 공통 조합 후보; 별도 영역에서 계약만 검증</x:v>
      </x:c>
    </x:row>
    <x:row r="50" ht="54" customHeight="1">
      <x:c r="A50" s="235" t="n">
        <x:v>42</x:v>
      </x:c>
      <x:c r="B50" s="236" t="str">
        <x:v>AI-ONE 모션 배경</x:v>
      </x:c>
      <x:c r="C50" s="237" t="str">
        <x:v>AI-ONE 전용</x:v>
      </x:c>
      <x:c r="D50" s="211" t="str">
        <x:v>Size viewport · H 100% · P - · Gap - · Type - · R -</x:v>
      </x:c>
      <x:c r="E50" s="211" t="str">
        <x:v>.ai-one-background · common.js data-ai-one-background · data-ai-one-background</x:v>
      </x:c>
      <x:c r="F50" s="211" t="str">
        <x:v>AI-ONE/AI-ONE 모션 배경</x:v>
      </x:c>
      <x:c r="G50" s="211" t="str">
        <x:v>Variant=default · dark · reduced-motion; Size=viewport; Height=100%</x:v>
      </x:c>
      <x:c r="H50" s="246" t="str">
        <x:v>미제공</x:v>
      </x:c>
      <x:c r="I50" s="246" t="str">
        <x:v>원본 확인 필요</x:v>
      </x:c>
      <x:c r="J50" s="247" t="str">
        <x:v>OWN-01 소유권: common.js 안의 AI-ONE 브랜드 전용 모듈</x:v>
      </x:c>
      <x:c r="K50" s="248" t="str">
        <x:v>전용 유지</x:v>
      </x:c>
      <x:c r="L50" s="211" t="str">
        <x:v>브랜드 · 기존 페이지에 유지; 범용 primitive만 별도 영역에서 참조</x:v>
      </x:c>
    </x:row>
    <x:row r="51" ht="54" customHeight="1">
      <x:c r="A51" s="238" t="n">
        <x:v>43</x:v>
      </x:c>
      <x:c r="B51" s="239" t="str">
        <x:v>서비스 카드</x:v>
      </x:c>
      <x:c r="C51" s="237" t="str">
        <x:v>AI-ONE 전용</x:v>
      </x:c>
      <x:c r="D51" s="214" t="str">
        <x:v>Size 그리드 종속 · H 카드 종속 · P 16~20px · Gap 12px · Type 12~18px · R 12px</x:v>
      </x:c>
      <x:c r="E51" s="214" t="str">
        <x:v>css/ai-home.css · js/ai-home.js · data-service-card-v2/status/tone/version</x:v>
      </x:c>
      <x:c r="F51" s="214" t="str">
        <x:v>AI-ONE/서비스 카드</x:v>
      </x:c>
      <x:c r="G51" s="214" t="str">
        <x:v>Variant=v1 · v2 · status/tone/version; Size=그리드 종속; Height=카드 종속</x:v>
      </x:c>
      <x:c r="H51" s="246" t="str">
        <x:v>미제공</x:v>
      </x:c>
      <x:c r="I51" s="246" t="str">
        <x:v>원본 확인 필요</x:v>
      </x:c>
      <x:c r="J51" s="247" t="str">
        <x:v>직접 중복 근거 없음</x:v>
      </x:c>
      <x:c r="K51" s="248" t="str">
        <x:v>전용 유지</x:v>
      </x:c>
      <x:c r="L51" s="214" t="str">
        <x:v>AI-ONE 화면 · 기존 페이지에 유지; 범용 primitive만 별도 영역에서 참조</x:v>
      </x:c>
    </x:row>
    <x:row r="52" ht="54" customHeight="1">
      <x:c r="A52" s="235" t="n">
        <x:v>44</x:v>
      </x:c>
      <x:c r="B52" s="236" t="str">
        <x:v>작업 이력 모달</x:v>
      </x:c>
      <x:c r="C52" s="237" t="str">
        <x:v>AI-ONE 전용</x:v>
      </x:c>
      <x:c r="D52" s="211" t="str">
        <x:v>Size large modal · H viewport 종속 · P 페이지 정의 · Gap 8~12px · Type 11~13px · R 12px</x:v>
      </x:c>
      <x:c r="E52" s="211" t="str">
        <x:v>ai-home.* + 공통 Modal/DataTable · data-home-history-*</x:v>
      </x:c>
      <x:c r="F52" s="211" t="str">
        <x:v>AI-ONE/작업 이력 모달</x:v>
      </x:c>
      <x:c r="G52" s="211" t="str">
        <x:v>Variant=search · table · empty · clear; Size=large modal; Height=viewport 종속</x:v>
      </x:c>
      <x:c r="H52" s="246" t="str">
        <x:v>미제공</x:v>
      </x:c>
      <x:c r="I52" s="246" t="str">
        <x:v>원본 확인 필요</x:v>
      </x:c>
      <x:c r="J52" s="247" t="str">
        <x:v>DUP-08 Layer: 공통 Modal / 작업 이력 Modal</x:v>
      </x:c>
      <x:c r="K52" s="248" t="str">
        <x:v>전용 유지</x:v>
      </x:c>
      <x:c r="L52" s="211" t="str">
        <x:v>AI-ONE 화면 · 기존 페이지에 유지; 범용 primitive만 별도 영역에서 참조</x:v>
      </x:c>
    </x:row>
    <x:row r="53" ht="54" customHeight="1">
      <x:c r="A53" s="238" t="n">
        <x:v>45</x:v>
      </x:c>
      <x:c r="B53" s="239" t="str">
        <x:v>질의 카드</x:v>
      </x:c>
      <x:c r="C53" s="237" t="str">
        <x:v>AI-ONE 전용</x:v>
      </x:c>
      <x:c r="D53" s="214" t="str">
        <x:v>Size 패널 종속 · H 콘텐츠 종속 · P 페이지 정의 · Gap 8~12px · Type 11~14px · R 8~10px</x:v>
      </x:c>
      <x:c r="E53" s="214" t="str">
        <x:v>css/js/ai-workspace.* · data-query-card-* · data-qid</x:v>
      </x:c>
      <x:c r="F53" s="214" t="str">
        <x:v>AI-ONE/질의 카드</x:v>
      </x:c>
      <x:c r="G53" s="214" t="str">
        <x:v>Variant=active · excluded · collapsed · review; Size=패널 종속; Height=콘텐츠 종속</x:v>
      </x:c>
      <x:c r="H53" s="246" t="str">
        <x:v>미제공</x:v>
      </x:c>
      <x:c r="I53" s="246" t="str">
        <x:v>원본 확인 필요</x:v>
      </x:c>
      <x:c r="J53" s="247" t="str">
        <x:v>직접 중복 근거 없음</x:v>
      </x:c>
      <x:c r="K53" s="248" t="str">
        <x:v>전용 유지</x:v>
      </x:c>
      <x:c r="L53" s="214" t="str">
        <x:v>AI-ONE 화면 · 기존 페이지에 유지; 범용 primitive만 별도 영역에서 참조</x:v>
      </x:c>
    </x:row>
    <x:row r="54" ht="54" customHeight="1">
      <x:c r="A54" s="235" t="n">
        <x:v>46</x:v>
      </x:c>
      <x:c r="B54" s="236" t="str">
        <x:v>질의 툴바/목록</x:v>
      </x:c>
      <x:c r="C54" s="237" t="str">
        <x:v>AI-ONE 전용</x:v>
      </x:c>
      <x:c r="D54" s="211" t="str">
        <x:v>Size 패널 종속 · H 100% · P 페이지 정의 · Gap 8px · Type 11~13px · R 6~10px</x:v>
      </x:c>
      <x:c r="E54" s="211" t="str">
        <x:v>css/js/ai-workspace.* · data-filter · data-question-*</x:v>
      </x:c>
      <x:c r="F54" s="211" t="str">
        <x:v>AI-ONE/질의 툴바/목록</x:v>
      </x:c>
      <x:c r="G54" s="211" t="str">
        <x:v>Variant=filter · count · sort · upload summary; Size=패널 종속; Height=100%</x:v>
      </x:c>
      <x:c r="H54" s="246" t="str">
        <x:v>미제공</x:v>
      </x:c>
      <x:c r="I54" s="246" t="str">
        <x:v>원본 확인 필요</x:v>
      </x:c>
      <x:c r="J54" s="247" t="str">
        <x:v>직접 중복 근거 없음</x:v>
      </x:c>
      <x:c r="K54" s="248" t="str">
        <x:v>전용 유지</x:v>
      </x:c>
      <x:c r="L54" s="211" t="str">
        <x:v>AI-ONE 화면 · 기존 페이지에 유지; 범용 primitive만 별도 영역에서 참조</x:v>
      </x:c>
    </x:row>
    <x:row r="55" ht="54" customHeight="1">
      <x:c r="A55" s="238" t="n">
        <x:v>47</x:v>
      </x:c>
      <x:c r="B55" s="239" t="str">
        <x:v>원문 비교/분류 결과</x:v>
      </x:c>
      <x:c r="C55" s="237" t="str">
        <x:v>AI-ONE 전용</x:v>
      </x:c>
      <x:c r="D55" s="214" t="str">
        <x:v>Size 중앙 패널 · H 100% · P 페이지 정의 · Gap 8~12px · Type 11~14px · R 6~10px</x:v>
      </x:c>
      <x:c r="E55" s="214" t="str">
        <x:v>css/js/ai-workspace.* + DocumentStatusBar/ProgressBar · data-result-* · data-confidence</x:v>
      </x:c>
      <x:c r="F55" s="214" t="str">
        <x:v>AI-ONE/원문 비교/분류 결과</x:v>
      </x:c>
      <x:c r="G55" s="214" t="str">
        <x:v>Variant=source · extracted · department · confidence; Size=중앙 패널; Height=100%</x:v>
      </x:c>
      <x:c r="H55" s="246" t="str">
        <x:v>미제공</x:v>
      </x:c>
      <x:c r="I55" s="246" t="str">
        <x:v>원본 확인 필요</x:v>
      </x:c>
      <x:c r="J55" s="247" t="str">
        <x:v>직접 중복 근거 없음</x:v>
      </x:c>
      <x:c r="K55" s="248" t="str">
        <x:v>전용 유지</x:v>
      </x:c>
      <x:c r="L55" s="214" t="str">
        <x:v>AI-ONE 화면 · 기존 페이지에 유지; 범용 primitive만 별도 영역에서 참조</x:v>
      </x:c>
    </x:row>
    <x:row r="56" ht="54" customHeight="1">
      <x:c r="A56" s="235" t="n">
        <x:v>48</x:v>
      </x:c>
      <x:c r="B56" s="236" t="str">
        <x:v>실국별 알림 담당자</x:v>
      </x:c>
      <x:c r="C56" s="237" t="str">
        <x:v>AI-ONE 전용</x:v>
      </x:c>
      <x:c r="D56" s="211" t="str">
        <x:v>Size large modal · H viewport 종속 · P 페이지 정의 · Gap 8px · Type 11~13px · R 6~10px</x:v>
      </x:c>
      <x:c r="E56" s="211" t="str">
        <x:v>ai-workspace.* notification-assignee · data-notification-*</x:v>
      </x:c>
      <x:c r="F56" s="211" t="str">
        <x:v>AI-ONE/실국별 알림 담당자</x:v>
      </x:c>
      <x:c r="G56" s="211" t="str">
        <x:v>Variant=org tree · department · staff select · search; Size=large modal; Height=viewport 종속</x:v>
      </x:c>
      <x:c r="H56" s="246" t="str">
        <x:v>미제공</x:v>
      </x:c>
      <x:c r="I56" s="246" t="str">
        <x:v>원본 확인 필요</x:v>
      </x:c>
      <x:c r="J56" s="247" t="str">
        <x:v>직접 중복 근거 없음</x:v>
      </x:c>
      <x:c r="K56" s="248" t="str">
        <x:v>전용 유지</x:v>
      </x:c>
      <x:c r="L56" s="211" t="str">
        <x:v>AI-ONE 화면 · 기존 페이지에 유지; 범용 primitive만 별도 영역에서 참조</x:v>
      </x:c>
    </x:row>
    <x:row r="57" ht="54" customHeight="1">
      <x:c r="A57" s="238" t="n">
        <x:v>49</x:v>
      </x:c>
      <x:c r="B57" s="239" t="str">
        <x:v>분류 룰 설정 사이드팝</x:v>
      </x:c>
      <x:c r="C57" s="237" t="str">
        <x:v>AI-ONE 전용</x:v>
      </x:c>
      <x:c r="D57" s="214" t="str">
        <x:v>Size xlarge drawer · H 100vh · P 페이지 정의 · Gap 8px · Type 11~13px · R 6~10px</x:v>
      </x:c>
      <x:c r="E57" s="214" t="str">
        <x:v>ai-workspace.* rule settings + AIOneSidePop · data-rule-*</x:v>
      </x:c>
      <x:c r="F57" s="214" t="str">
        <x:v>AI-ONE/분류 룰 설정 사이드팝</x:v>
      </x:c>
      <x:c r="G57" s="214" t="str">
        <x:v>Variant=list · form · include/exclude tags · priority; Size=xlarge drawer; Height=100vh</x:v>
      </x:c>
      <x:c r="H57" s="246" t="str">
        <x:v>미제공</x:v>
      </x:c>
      <x:c r="I57" s="246" t="str">
        <x:v>원본 확인 필요</x:v>
      </x:c>
      <x:c r="J57" s="247" t="str">
        <x:v>DUP-09 Drawer: SidePop / Rule panel / Report drawer</x:v>
      </x:c>
      <x:c r="K57" s="248" t="str">
        <x:v>전용 유지</x:v>
      </x:c>
      <x:c r="L57" s="214" t="str">
        <x:v>AI-ONE 화면 · 기존 페이지에 유지; 범용 primitive만 별도 영역에서 참조</x:v>
      </x:c>
    </x:row>
    <x:row r="58" ht="54" customHeight="1">
      <x:c r="A58" s="235" t="n">
        <x:v>50</x:v>
      </x:c>
      <x:c r="B58" s="236" t="str">
        <x:v>답변서 초안 편집기</x:v>
      </x:c>
      <x:c r="C58" s="237" t="str">
        <x:v>AI-ONE 전용</x:v>
      </x:c>
      <x:c r="D58" s="211" t="str">
        <x:v>Size 중앙 패널 · H 100% · P 페이지 정의 · Gap 8~12px · Type 12~16px · R -</x:v>
      </x:c>
      <x:c r="E58" s="211" t="str">
        <x:v>ai-answer*.css/js · data-draft-* · data-answer-draft-*</x:v>
      </x:c>
      <x:c r="F58" s="211" t="str">
        <x:v>AI-ONE/답변서 초안 편집기</x:v>
      </x:c>
      <x:c r="G58" s="211" t="str">
        <x:v>Variant=view · edit · version · fullscreen; Size=중앙 패널; Height=100%</x:v>
      </x:c>
      <x:c r="H58" s="246" t="str">
        <x:v>미제공</x:v>
      </x:c>
      <x:c r="I58" s="246" t="str">
        <x:v>원본 확인 필요</x:v>
      </x:c>
      <x:c r="J58" s="247" t="str">
        <x:v>DUP-12 Answer: ai-answer / ai-answer-after 편집기·상태 규칙</x:v>
      </x:c>
      <x:c r="K58" s="248" t="str">
        <x:v>전용 유지</x:v>
      </x:c>
      <x:c r="L58" s="211" t="str">
        <x:v>AI-ONE 화면 · 기존 페이지에 유지; 범용 primitive만 별도 영역에서 참조</x:v>
      </x:c>
    </x:row>
    <x:row r="59" ht="54" customHeight="1">
      <x:c r="A59" s="238" t="n">
        <x:v>51</x:v>
      </x:c>
      <x:c r="B59" s="239" t="str">
        <x:v>AI 참조소스 검색/파일</x:v>
      </x:c>
      <x:c r="C59" s="237" t="str">
        <x:v>AI-ONE 전용</x:v>
      </x:c>
      <x:c r="D59" s="214" t="str">
        <x:v>Size 좌측 패널 · H 100% · P 페이지 정의 · Gap 8px · Type 11~13px · R 6~10px</x:v>
      </x:c>
      <x:c r="E59" s="214" t="str">
        <x:v>ai-answer-after.* · data-rec-* · data-source-* · AIOneAgentBridge</x:v>
      </x:c>
      <x:c r="F59" s="214" t="str">
        <x:v>AI-ONE/AI 참조소스 검색/파일</x:v>
      </x:c>
      <x:c r="G59" s="214" t="str">
        <x:v>Variant=smart search · recommendation · selected · apply; Size=좌측 패널; Height=100%</x:v>
      </x:c>
      <x:c r="H59" s="246" t="str">
        <x:v>미제공</x:v>
      </x:c>
      <x:c r="I59" s="246" t="str">
        <x:v>원본 확인 필요</x:v>
      </x:c>
      <x:c r="J59" s="247" t="str">
        <x:v>직접 중복 근거 없음</x:v>
      </x:c>
      <x:c r="K59" s="248" t="str">
        <x:v>전용 유지</x:v>
      </x:c>
      <x:c r="L59" s="214" t="str">
        <x:v>AI-ONE 화면 · 기존 페이지에 유지; 범용 primitive만 별도 영역에서 참조</x:v>
      </x:c>
    </x:row>
    <x:row r="60" ht="54" customHeight="1">
      <x:c r="A60" s="235" t="n">
        <x:v>52</x:v>
      </x:c>
      <x:c r="B60" s="236" t="str">
        <x:v>근거 상세/검증</x:v>
      </x:c>
      <x:c r="C60" s="237" t="str">
        <x:v>AI-ONE 전용</x:v>
      </x:c>
      <x:c r="D60" s="211" t="str">
        <x:v>Size 분할 패널 · H 100% · P 페이지 정의 · Gap 8px · Type 11~14px · R 6~10px</x:v>
      </x:c>
      <x:c r="E60" s="211" t="str">
        <x:v>ai-answer*.css/js · data-vd-* · data-verify-*</x:v>
      </x:c>
      <x:c r="F60" s="211" t="str">
        <x:v>AI-ONE/근거 상세/검증</x:v>
      </x:c>
      <x:c r="G60" s="211" t="str">
        <x:v>Variant=valid/warn/error · highlight · reference detail; Size=분할 패널; Height=100%</x:v>
      </x:c>
      <x:c r="H60" s="246" t="str">
        <x:v>미제공</x:v>
      </x:c>
      <x:c r="I60" s="246" t="str">
        <x:v>원본 확인 필요</x:v>
      </x:c>
      <x:c r="J60" s="247" t="str">
        <x:v>DUP-12 Answer: ai-answer / ai-answer-after 근거 UI 규칙</x:v>
      </x:c>
      <x:c r="K60" s="248" t="str">
        <x:v>전용 유지</x:v>
      </x:c>
      <x:c r="L60" s="211" t="str">
        <x:v>AI-ONE 화면 · 기존 페이지에 유지; 범용 primitive만 별도 영역에서 참조</x:v>
      </x:c>
    </x:row>
    <x:row r="61" ht="54" customHeight="1">
      <x:c r="A61" s="238" t="n">
        <x:v>53</x:v>
      </x:c>
      <x:c r="B61" s="239" t="str">
        <x:v>답변서 비교 뷰</x:v>
      </x:c>
      <x:c r="C61" s="237" t="str">
        <x:v>AI-ONE 전용</x:v>
      </x:c>
      <x:c r="D61" s="214" t="str">
        <x:v>Size large/fullscreen · H viewport 종속 · P 페이지 정의 · Gap 8px · Type 11~14px · R 6~10px</x:v>
      </x:c>
      <x:c r="E61" s="214" t="str">
        <x:v>ai-answer-after.* · data-compare-viewer · AgentBridge diff APIs</x:v>
      </x:c>
      <x:c r="F61" s="214" t="str">
        <x:v>AI-ONE/답변서 비교 뷰</x:v>
      </x:c>
      <x:c r="G61" s="214" t="str">
        <x:v>Variant=version compare · answer compare · diff; Size=large/fullscreen; Height=viewport 종속</x:v>
      </x:c>
      <x:c r="H61" s="246" t="str">
        <x:v>미제공</x:v>
      </x:c>
      <x:c r="I61" s="246" t="str">
        <x:v>원본 확인 필요</x:v>
      </x:c>
      <x:c r="J61" s="247" t="str">
        <x:v>DUP-12 Answer: ai-answer / ai-answer-after 문서 뷰 규칙</x:v>
      </x:c>
      <x:c r="K61" s="248" t="str">
        <x:v>전용 유지</x:v>
      </x:c>
      <x:c r="L61" s="214" t="str">
        <x:v>AI-ONE 화면 · 기존 페이지에 유지; 범용 primitive만 별도 영역에서 참조</x:v>
      </x:c>
    </x:row>
    <x:row r="62" ht="54" customHeight="1">
      <x:c r="A62" s="235" t="n">
        <x:v>54</x:v>
      </x:c>
      <x:c r="B62" s="236" t="str">
        <x:v>오류 신고 드로어/업로드</x:v>
      </x:c>
      <x:c r="C62" s="237" t="str">
        <x:v>AI-ONE 전용</x:v>
      </x:c>
      <x:c r="D62" s="211" t="str">
        <x:v>Size drawer · H 100vh · P 페이지 정의 · Gap 8px · Type 11~13px · R 6~10px</x:v>
      </x:c>
      <x:c r="E62" s="211" t="str">
        <x:v>css/js/ai-chatbot.* · report drawer page state</x:v>
      </x:c>
      <x:c r="F62" s="211" t="str">
        <x:v>AI-ONE/오류 신고 드로어/업로드</x:v>
      </x:c>
      <x:c r="G62" s="211" t="str">
        <x:v>Variant=form · upload · success/error; Size=drawer; Height=100vh</x:v>
      </x:c>
      <x:c r="H62" s="246" t="str">
        <x:v>미제공</x:v>
      </x:c>
      <x:c r="I62" s="246" t="str">
        <x:v>원본 확인 필요</x:v>
      </x:c>
      <x:c r="J62" s="247" t="str">
        <x:v>DUP-09 Drawer: SidePop / Rule panel / Report drawer</x:v>
      </x:c>
      <x:c r="K62" s="248" t="str">
        <x:v>전용 유지</x:v>
      </x:c>
      <x:c r="L62" s="211" t="str">
        <x:v>AI-ONE 화면 · 기존 페이지에 유지; 범용 primitive만 별도 영역에서 참조</x:v>
      </x:c>
    </x:row>
    <x:row r="63" ht="54" customHeight="1">
      <x:c r="A63" s="240" t="n">
        <x:v>55</x:v>
      </x:c>
      <x:c r="B63" s="241" t="str">
        <x:v>로그인 글래스 카드</x:v>
      </x:c>
      <x:c r="C63" s="242" t="str">
        <x:v>AI-ONE 전용</x:v>
      </x:c>
      <x:c r="D63" s="215" t="str">
        <x:v>Size card 420px 내외 · H 콘텐츠 종속 · P 24~32px · Gap 12px · Type 13~18px · R 16px 내외</x:v>
      </x:c>
      <x:c r="E63" s="215" t="str">
        <x:v>css/login.css · js/login.js · login form submit prototype</x:v>
      </x:c>
      <x:c r="F63" s="215" t="str">
        <x:v>AI-ONE/로그인 글래스 카드</x:v>
      </x:c>
      <x:c r="G63" s="215" t="str">
        <x:v>Variant=default · error · loading · dark; Size=card 420px 내외; Height=콘텐츠 종속</x:v>
      </x:c>
      <x:c r="H63" s="249" t="str">
        <x:v>미제공</x:v>
      </x:c>
      <x:c r="I63" s="249" t="str">
        <x:v>원본 확인 필요</x:v>
      </x:c>
      <x:c r="J63" s="250" t="str">
        <x:v>직접 중복 근거 없음</x:v>
      </x:c>
      <x:c r="K63" s="251" t="str">
        <x:v>전용 유지</x:v>
      </x:c>
      <x:c r="L63" s="215" t="str">
        <x:v>AI-ONE 화면 · 기존 페이지에 유지; 범용 primitive만 별도 영역에서 참조</x:v>
      </x:c>
    </x:row>
  </x:sheetData>
  <x:mergeCells>
    <x:mergeCell ref="A1:L2"/>
    <x:mergeCell ref="A3:L3"/>
    <x:mergeCell ref="A5:B5"/>
    <x:mergeCell ref="A6:B6"/>
    <x:mergeCell ref="C5:D5"/>
    <x:mergeCell ref="C6:D6"/>
    <x:mergeCell ref="E5:F5"/>
    <x:mergeCell ref="E6:F6"/>
    <x:mergeCell ref="G5:H5"/>
    <x:mergeCell ref="G6:H6"/>
    <x:mergeCell ref="I5:J5"/>
    <x:mergeCell ref="I6:J6"/>
    <x:mergeCell ref="K5:L5"/>
    <x:mergeCell ref="K6:L6"/>
  </x:mergeCells>
  <x:dataValidations count="3">
    <x:dataValidation type="list" sqref="H9:H63">
      <x:formula1>"미제공,연결됨"</x:formula1>
    </x:dataValidation>
    <x:dataValidation type="list" sqref="I9:I63">
      <x:formula1>"원본 확인 필요,매핑 확인,차이 있음"</x:formula1>
    </x:dataValidation>
    <x:dataValidation type="list" sqref="K9:K63">
      <x:formula1>"1차 구현,2차 후보,분석/보류,전용 유지"</x:formula1>
    </x:dataValidation>
  </x:dataValidations>
  <x:pageMargins left="0.7" right="0.7" top="0.75" bottom="0.75" header="0.3" footer="0.3"/>
</x:worksheet>
</file>